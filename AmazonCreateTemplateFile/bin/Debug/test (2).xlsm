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HAKI COMPUTER\Desktop\"/>
    </mc:Choice>
  </mc:AlternateContent>
  <bookViews>
    <workbookView xWindow="0" yWindow="0" windowWidth="28800" windowHeight="12435" firstSheet="7" activeTab="7"/>
  </bookViews>
  <sheets>
    <sheet name="icons" sheetId="8" state="hidden" r:id="rId1"/>
    <sheet name="International URLs" sheetId="9" state="hidden" r:id="rId2"/>
    <sheet name="International Settings" sheetId="11" state="hidden" r:id="rId3"/>
    <sheet name="DropdownSizer" sheetId="13" state="veryHidden" r:id="rId4"/>
    <sheet name="International Translations" sheetId="14" state="hidden" r:id="rId5"/>
    <sheet name="Data Validation" sheetId="15" state="hidden" r:id="rId6"/>
    <sheet name="International Data" sheetId="16" state="hidden" r:id="rId7"/>
    <sheet name="Template" sheetId="2" r:id="rId8"/>
    <sheet name="Conditions List" sheetId="4" state="hidden" r:id="rId9"/>
    <sheet name="Dropdown Lists" sheetId="6" state="hidden" r:id="rId10"/>
    <sheet name="AttributePTDMAP" sheetId="7" state="hidden" r:id="rId11"/>
  </sheets>
  <externalReferences>
    <externalReference r:id="rId12"/>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blanketare_batteries_included">'Dropdown Lists'!$X$4:$X$5</definedName>
    <definedName name="blanketbatteries_required">'Dropdown Lists'!$R$4:$R$5</definedName>
    <definedName name="blanketbattery_cell_composition">'Dropdown Lists'!$S$4:$S$36</definedName>
    <definedName name="blanketbattery_type">'Dropdown Lists'!$AO$4:$AO$25</definedName>
    <definedName name="blanketbattery_weight_unit_of_measure">'Dropdown Lists'!$AS$4:$AS$11</definedName>
    <definedName name="blanketcalifornia_proposition__chemical_names">'Dropdown Lists'!$D$4:$D$872</definedName>
    <definedName name="blanketcalifornia_proposition__compliance_type">'Dropdown Lists'!$BD$4:$BD$14</definedName>
    <definedName name="blanketcolor_map">'Dropdown Lists'!$W$4:$W$20</definedName>
    <definedName name="blanketcondition_type">'Dropdown Lists'!$AQ$4:$AQ$13</definedName>
    <definedName name="blanketcountry_as_labeled">'Dropdown Lists'!$BC$4:$BC$271</definedName>
    <definedName name="blanketcountry_of_origin">'Dropdown Lists'!$F$4:$F$271</definedName>
    <definedName name="blanketcpsia_cautionary_statement">'Dropdown Lists'!$AB$4:$AB$11</definedName>
    <definedName name="blanketcurrency">'Dropdown Lists'!$M$4:$M$11</definedName>
    <definedName name="blanketexternal_product_id_type">'Dropdown Lists'!$I$4:$I$7</definedName>
    <definedName name="blanketfabric_weight_unit_of_measure">'Dropdown Lists'!$Q$4</definedName>
    <definedName name="blanketfulfillment_center_id">'Dropdown Lists'!$AG$4:$AG$5</definedName>
    <definedName name="blanketghs_classification_class">'Dropdown Lists'!$AK$4:$AK$13</definedName>
    <definedName name="blanketgtin_exemption_reason">'Dropdown Lists'!$AU$4:$AU$9</definedName>
    <definedName name="blanketincluded_components">'Dropdown Lists'!$AW$4:$AW$12</definedName>
    <definedName name="blanketis_assembly_required">'Dropdown Lists'!$AI$4:$AI$5</definedName>
    <definedName name="blanketitem_display_height_unit_of_measure">'Dropdown Lists'!$BL$4</definedName>
    <definedName name="blanketitem_display_length_unit_of_measure">'Dropdown Lists'!$AR$4</definedName>
    <definedName name="blanketitem_display_weight_unit_of_measure">'Dropdown Lists'!$BB$4:$BB$11</definedName>
    <definedName name="blanketitem_display_width_unit_of_measure">'Dropdown Lists'!$E$4</definedName>
    <definedName name="blanketitem_height_unit_of_measure">'Dropdown Lists'!$AP$4</definedName>
    <definedName name="blanketitem_length_unit_of_measure">'Dropdown Lists'!$BF$4</definedName>
    <definedName name="blanketitem_shape">'Dropdown Lists'!$AE$4:$AE$7</definedName>
    <definedName name="blanketitem_type">'Dropdown Lists'!$BM$4</definedName>
    <definedName name="blanketitem_volume_unit_of_measure">'Dropdown Lists'!$AY$4:$AY$22</definedName>
    <definedName name="blanketitem_weight_unit_of_measure">'Dropdown Lists'!$AV$4:$AV$11</definedName>
    <definedName name="blanketitem_width_unit_of_measure">'Dropdown Lists'!$C$4</definedName>
    <definedName name="blanketlegal_compliance_certification_regulatory_organization_name">'Dropdown Lists'!$V$4</definedName>
    <definedName name="blanketlegal_compliance_certification_status">'Dropdown Lists'!$Y$4:$Y$6</definedName>
    <definedName name="blanketlithium_battery_energy_content_unit_of_measure">'Dropdown Lists'!$AN$4:$AN$12</definedName>
    <definedName name="blanketlithium_battery_packaging">'Dropdown Lists'!$H$4:$H$6</definedName>
    <definedName name="blanketlithium_battery_weight_unit_of_measure">'Dropdown Lists'!$AF$4:$AF$11</definedName>
    <definedName name="blanketmaterial_type">'Dropdown Lists'!$AD$4:$AD$44</definedName>
    <definedName name="blanketmaximum_weight_recommendation_unit_of_measure">'Dropdown Lists'!$AJ$4:$AJ$11</definedName>
    <definedName name="blanketoffering_can_be_gift_messaged">'Dropdown Lists'!$BK$4:$BK$5</definedName>
    <definedName name="blanketoffering_can_be_giftwrapped">'Dropdown Lists'!$AM$4:$AM$5</definedName>
    <definedName name="blanketpackage_height_unit_of_measure">'Dropdown Lists'!$AL$4</definedName>
    <definedName name="blanketpackage_length_unit_of_measure">'Dropdown Lists'!$AH$4</definedName>
    <definedName name="blanketpackage_weight_unit_of_measure">'Dropdown Lists'!$T$4:$T$11</definedName>
    <definedName name="blanketpackage_width_unit_of_measure">'Dropdown Lists'!$BE$4</definedName>
    <definedName name="blanketparent_child">'Dropdown Lists'!$BA$4:$BA$5</definedName>
    <definedName name="blanketpattern_name">'Dropdown Lists'!$BI$4:$BI$20</definedName>
    <definedName name="blanketpesticide_marking_registration_status">'Dropdown Lists'!$O$4:$O$6</definedName>
    <definedName name="blanketpesticide_marking_type">'Dropdown Lists'!$P$4:$P$5</definedName>
    <definedName name="blanketpricing_action">'Dropdown Lists'!$AZ$4:$AZ$6</definedName>
    <definedName name="blanketproduct_tax_code">'Dropdown Lists'!$BH$4</definedName>
    <definedName name="blanketprogressive_discount_type">'Dropdown Lists'!$AC$4:$AC$5</definedName>
    <definedName name="blanketquantity_price_type">'Dropdown Lists'!$BG$4:$BG$5</definedName>
    <definedName name="blanketrelationship_type">'Dropdown Lists'!$B$4:$B$7</definedName>
    <definedName name="blanketscent_name">'Dropdown Lists'!$G$4:$G$12</definedName>
    <definedName name="blanketseasons">'Dropdown Lists'!$AA$4:$AA$8</definedName>
    <definedName name="blanketsize_map">'Dropdown Lists'!$Z$4:$Z$16</definedName>
    <definedName name="blanketspecial_features">'Dropdown Lists'!$K$4:$K$23</definedName>
    <definedName name="blanketsupplier_declared_dg_hz_regulation">'Dropdown Lists'!$N$4:$N$10</definedName>
    <definedName name="blanketsupplier_declared_material_regulation">'Dropdown Lists'!$AX$4:$AX$7</definedName>
    <definedName name="blanketunit_count_type">'Dropdown Lists'!$BJ$4:$BJ$10</definedName>
    <definedName name="blanketupdate_delete">'Dropdown Lists'!$U$4:$U$6</definedName>
    <definedName name="blanketvariation_theme">'Dropdown Lists'!$J$4:$J$44</definedName>
    <definedName name="blanketwattage_unit_of_measure">'Dropdown Lists'!$L$4:$L$12</definedName>
    <definedName name="CONDITION_LIST_0">'Conditions List'!$A$2</definedName>
    <definedName name="CONDITION_LIST_1">'Conditions List'!$B$2:$B$13</definedName>
    <definedName name="CONDITION_LIST_2">'Conditions List'!$C$2</definedName>
    <definedName name="CONDITION_LIST_3">'Conditions List'!$D$2</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Template!$B$1:$B$1048575</definedName>
    <definedName name="Last_Update">'International Settings'!$A$27</definedName>
    <definedName name="Macros_Version">'International Settings'!$A$36</definedName>
    <definedName name="merchant_shipping_group_name">'Dropdown Lists'!$AT$4:$AT$6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AttributePTDMAP!$A$47:$B$207</definedName>
    <definedName name="preferredAttributePTDMap">AttributePTDMAP!$A$208:$B$208</definedName>
    <definedName name="recommendedAttributePTDMap">AttributePTDMAP!$A$208:$B$208</definedName>
    <definedName name="requiredAttributePTDMap">AttributePTDMAP!$A$1:$B$46</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I14" i="2" l="1"/>
  <c r="I9" i="2"/>
  <c r="I4" i="2"/>
  <c r="A22" i="11" l="1"/>
  <c r="A21" i="11"/>
  <c r="A13" i="11"/>
  <c r="A12" i="11"/>
  <c r="A11" i="11"/>
  <c r="A14" i="11" s="1"/>
  <c r="A10" i="11"/>
  <c r="A23" i="11" l="1"/>
</calcChain>
</file>

<file path=xl/comments1.xml><?xml version="1.0" encoding="utf-8"?>
<comments xmlns="http://schemas.openxmlformats.org/spreadsheetml/2006/main">
  <authors>
    <author>Greg Lovern - PrecisionCalc.com</author>
  </authors>
  <commentList>
    <comment ref="A15" authorId="0" shape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rFont val="Verdana"/>
            <family val="2"/>
          </rPr>
          <t>Price must be a number. For example:</t>
        </r>
        <r>
          <rPr>
            <sz val="1"/>
            <rFont val="Verdana"/>
            <family val="2"/>
          </rPr>
          <t xml:space="preserve">
</t>
        </r>
        <r>
          <rPr>
            <sz val="10"/>
            <rFont val="Verdana"/>
            <family val="2"/>
          </rPr>
          <t>12
12.34</t>
        </r>
      </text>
    </comment>
    <comment ref="A5" authorId="0" shape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rFont val="Verdana"/>
            <family val="2"/>
          </rPr>
          <t>Price must be a number. For example:</t>
        </r>
        <r>
          <rPr>
            <sz val="1"/>
            <rFont val="Verdana"/>
            <family val="2"/>
          </rPr>
          <t xml:space="preserve">
</t>
        </r>
        <r>
          <rPr>
            <sz val="10"/>
            <rFont val="Verdana"/>
            <family val="2"/>
          </rPr>
          <t>12
12.34</t>
        </r>
      </text>
    </comment>
    <comment ref="A22" authorId="2" shapeId="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rFont val="Verdana"/>
            <family val="2"/>
          </rPr>
          <t>Price must be a number. For example:</t>
        </r>
        <r>
          <rPr>
            <sz val="1"/>
            <rFont val="Verdana"/>
            <family val="2"/>
          </rPr>
          <t xml:space="preserve">
</t>
        </r>
        <r>
          <rPr>
            <sz val="10"/>
            <rFont val="Verdana"/>
            <family val="2"/>
          </rPr>
          <t>12
12.34</t>
        </r>
      </text>
    </comment>
    <comment ref="A23" authorId="2" shapeId="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<sst xmlns="http://schemas.openxmlformats.org/spreadsheetml/2006/main" count="4138" uniqueCount="2855">
  <si>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</si>
  <si>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</si>
  <si>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</si>
  <si>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</si>
  <si>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</si>
  <si>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</si>
  <si>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</si>
  <si>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</si>
  <si>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</si>
  <si>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</si>
  <si>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</si>
  <si>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</si>
  <si>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</si>
  <si>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</si>
  <si>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</si>
  <si>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</si>
  <si>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</si>
  <si>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</si>
  <si>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</si>
  <si>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</si>
  <si>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</si>
  <si>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</si>
  <si>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</si>
  <si>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</si>
  <si>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</si>
  <si>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</si>
  <si>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</si>
  <si>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</si>
  <si>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</si>
  <si>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</si>
  <si>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</si>
  <si>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</si>
  <si>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</si>
  <si>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</si>
  <si>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</si>
  <si>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</si>
  <si>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</si>
  <si>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</si>
  <si>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</si>
  <si>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</si>
  <si>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</si>
  <si>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</si>
  <si>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</si>
  <si>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</si>
  <si>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</si>
  <si>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</si>
  <si>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</si>
  <si>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</si>
  <si>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</si>
  <si>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</si>
  <si>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</si>
  <si>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</si>
  <si>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</si>
  <si>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</si>
  <si>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</si>
  <si>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</si>
  <si>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</si>
  <si>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</si>
  <si>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</si>
  <si>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</si>
  <si>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</si>
  <si>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</si>
  <si>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</si>
  <si>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</si>
  <si>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</si>
  <si>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</si>
  <si>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</si>
  <si>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</si>
  <si>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</si>
  <si>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</si>
  <si>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</si>
  <si>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</si>
  <si>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</si>
  <si>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</si>
  <si>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</si>
  <si>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</si>
  <si>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</si>
  <si>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</si>
  <si>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</si>
  <si>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</si>
  <si>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</si>
  <si>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</si>
  <si>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</si>
  <si>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</si>
  <si>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</si>
  <si>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</si>
  <si>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</si>
  <si>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</si>
  <si>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</si>
  <si>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</si>
  <si>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</si>
  <si>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</si>
  <si>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</si>
  <si>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</si>
  <si>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</si>
  <si>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</si>
  <si>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</si>
  <si>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</si>
  <si>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</si>
  <si>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</si>
  <si>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</si>
  <si>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</si>
  <si>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</si>
  <si>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</si>
  <si>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</si>
  <si>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</si>
  <si>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</si>
  <si>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</si>
  <si>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</si>
  <si>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</si>
  <si>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</si>
  <si>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</si>
  <si>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</si>
  <si>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</si>
  <si>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</si>
  <si>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</si>
  <si>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</si>
  <si>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</si>
  <si>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</si>
  <si>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</si>
  <si>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</si>
  <si>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</si>
  <si>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</si>
  <si>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</si>
  <si>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</si>
  <si>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</si>
  <si>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</si>
  <si>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</si>
  <si>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</si>
  <si>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</si>
  <si>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</si>
  <si>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</si>
  <si>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</si>
  <si>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</si>
  <si>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</si>
  <si>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</si>
  <si>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</si>
  <si>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</si>
  <si>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</si>
  <si>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</si>
  <si>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</si>
  <si>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</si>
  <si>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</si>
  <si>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</si>
  <si>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</si>
  <si>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</si>
  <si>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</si>
  <si>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</si>
  <si>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</si>
  <si>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</si>
  <si>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</si>
  <si>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</si>
  <si>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</si>
  <si>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</si>
  <si>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</si>
  <si>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</si>
  <si>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</si>
  <si>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</si>
  <si>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</si>
  <si>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</si>
  <si>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</si>
  <si>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</si>
  <si>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</si>
  <si>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</si>
  <si>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</si>
  <si>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</si>
  <si>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</si>
  <si>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</si>
  <si>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</si>
  <si>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</si>
  <si>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</si>
  <si>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</si>
  <si>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</si>
  <si>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</si>
  <si>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</si>
  <si>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</si>
  <si>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</si>
  <si>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</si>
  <si>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</si>
  <si>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</si>
  <si>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</si>
  <si>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</si>
  <si>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</si>
  <si>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</si>
  <si>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</si>
  <si>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</si>
  <si>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</si>
  <si>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</si>
  <si>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</si>
  <si>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</si>
  <si>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</si>
  <si>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</si>
  <si>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</si>
  <si>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</si>
  <si>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</si>
  <si>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</si>
  <si>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</si>
  <si>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</si>
  <si>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</si>
  <si>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</si>
  <si>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</si>
  <si>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</si>
  <si>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</si>
  <si>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</si>
  <si>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</si>
  <si>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</si>
  <si>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</si>
  <si>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</si>
  <si>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</si>
  <si>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</si>
  <si>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</si>
  <si>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</si>
  <si>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</si>
  <si>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</si>
  <si>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</si>
  <si>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</si>
  <si>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</si>
  <si>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</si>
  <si>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</si>
  <si>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</si>
  <si>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</si>
  <si>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</si>
  <si>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</si>
  <si>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</si>
  <si>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</si>
  <si>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</si>
  <si>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</si>
  <si>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</si>
  <si>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</si>
  <si>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</si>
  <si>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</si>
  <si>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</si>
  <si>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</si>
  <si>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</si>
  <si>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</si>
  <si>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</si>
  <si>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</si>
  <si>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</si>
  <si>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</si>
  <si>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</si>
  <si>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</si>
  <si>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</si>
  <si>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</si>
  <si>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</si>
  <si>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</si>
  <si>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</si>
  <si>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</si>
  <si>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</si>
  <si>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</si>
  <si>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</si>
  <si>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</si>
  <si>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</si>
  <si>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</si>
  <si>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</si>
  <si>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</si>
  <si>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</si>
  <si>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</si>
  <si>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</si>
  <si>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</si>
  <si>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</si>
  <si>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</si>
  <si>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</si>
  <si>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</si>
  <si>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</si>
  <si>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</si>
  <si>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</si>
  <si>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</si>
  <si>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</si>
  <si>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</si>
  <si>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</si>
  <si>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</si>
  <si>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</si>
  <si>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</si>
  <si>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</si>
  <si>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</si>
  <si>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</si>
  <si>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</si>
  <si>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</si>
  <si>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</si>
  <si>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</si>
  <si>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</si>
  <si>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</si>
  <si>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</si>
  <si>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</si>
  <si>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</si>
  <si>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</si>
  <si>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</si>
  <si>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</si>
  <si>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</si>
  <si>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</si>
  <si>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</si>
  <si>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</si>
  <si>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</si>
  <si>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</si>
  <si>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</si>
  <si>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</si>
  <si>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</si>
  <si>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</si>
  <si>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</si>
  <si>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</si>
  <si>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</si>
  <si>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</si>
  <si>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</si>
  <si>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</si>
  <si>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</si>
  <si>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</si>
  <si>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</si>
  <si>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</si>
  <si>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</si>
  <si>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</si>
  <si>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</si>
  <si>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</si>
  <si>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</si>
  <si>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</si>
  <si>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</si>
  <si>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</si>
  <si>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</si>
  <si>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</si>
  <si>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</si>
  <si>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</si>
  <si>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</si>
  <si>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</si>
  <si>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</si>
  <si>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</si>
  <si>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</si>
  <si>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</si>
  <si>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</si>
  <si>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</si>
  <si>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</si>
  <si>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</si>
  <si>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</si>
  <si>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</si>
  <si>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</si>
  <si>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</si>
  <si>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</si>
  <si>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</si>
  <si>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</si>
  <si>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</si>
  <si>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</si>
  <si>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</si>
  <si>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</si>
  <si>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</si>
  <si>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</si>
  <si>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</si>
  <si>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</si>
  <si>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</si>
  <si>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</si>
  <si>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</si>
  <si>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</si>
  <si>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</si>
  <si>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</si>
  <si>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</si>
  <si>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</si>
  <si>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</si>
  <si>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</si>
  <si>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</si>
  <si>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</si>
  <si>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</si>
  <si>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</si>
  <si>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</si>
  <si>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</si>
  <si>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</si>
  <si>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</si>
  <si>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</si>
  <si>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</si>
  <si>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</si>
  <si>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</si>
  <si>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</si>
  <si>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</si>
  <si>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</si>
  <si>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</si>
  <si>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</si>
  <si>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</si>
  <si>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</si>
  <si>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</si>
  <si>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</si>
  <si>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</si>
  <si>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</si>
  <si>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</si>
  <si>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</si>
  <si>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</si>
  <si>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</si>
  <si>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</si>
  <si>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</si>
  <si>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</si>
  <si>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</si>
  <si>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</si>
  <si>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</si>
  <si>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</si>
  <si>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</si>
  <si>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</si>
  <si>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</si>
  <si>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</si>
  <si>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</si>
  <si>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</si>
  <si>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</si>
  <si>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</si>
  <si>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</si>
  <si>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</si>
  <si>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</si>
  <si>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</si>
  <si>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</si>
  <si>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</si>
  <si>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</si>
  <si>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</si>
  <si>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</si>
  <si>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</si>
  <si>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</si>
  <si>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</si>
  <si>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</si>
  <si>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</si>
  <si>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</si>
  <si>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</si>
  <si>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</si>
  <si>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</si>
  <si>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</si>
  <si>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</si>
  <si>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</si>
  <si>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</si>
  <si>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</si>
  <si>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</si>
  <si>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</si>
  <si>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</si>
  <si>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</si>
  <si>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</si>
  <si>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</si>
  <si>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</si>
  <si>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</si>
  <si>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</si>
  <si>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</si>
  <si>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</si>
  <si>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</si>
  <si>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</si>
  <si>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</si>
  <si>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</si>
  <si>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</si>
  <si>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</si>
  <si>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</si>
  <si>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</si>
  <si>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</si>
  <si>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</si>
  <si>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</si>
  <si>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</si>
  <si>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</si>
  <si>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</si>
  <si>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</si>
  <si>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</si>
  <si>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</si>
  <si>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</si>
  <si>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</si>
  <si>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</si>
  <si>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</si>
  <si>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</si>
  <si>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</si>
  <si>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</si>
  <si>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</si>
  <si>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</si>
  <si>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</si>
  <si>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</si>
  <si>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</si>
  <si>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</si>
  <si>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</si>
  <si>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</si>
  <si>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</si>
  <si>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</si>
  <si>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</si>
  <si>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</si>
  <si>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</si>
  <si>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</si>
  <si>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</si>
  <si>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</si>
  <si>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</si>
  <si>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</si>
  <si>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</si>
  <si>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</si>
  <si>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</si>
  <si>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</si>
  <si>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</si>
  <si>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</si>
  <si>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</si>
  <si>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</si>
  <si>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</si>
  <si>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</si>
  <si>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</si>
  <si>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</si>
  <si>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</si>
  <si>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</si>
  <si>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</si>
  <si>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</si>
  <si>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</si>
  <si>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</si>
  <si>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</si>
  <si>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</si>
  <si>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</si>
  <si>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</si>
  <si>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</si>
  <si>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</si>
  <si>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</si>
  <si>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</si>
  <si>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</si>
  <si>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</si>
  <si>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</si>
  <si>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</si>
  <si>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</si>
  <si>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</si>
  <si>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</si>
  <si>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</si>
  <si>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</si>
  <si>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</si>
  <si>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</si>
  <si>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</si>
  <si>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</si>
  <si>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</si>
  <si>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</si>
  <si>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</si>
  <si>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</si>
  <si>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</si>
  <si>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</si>
  <si>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</si>
  <si>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</si>
  <si>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</si>
  <si>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</si>
  <si>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</si>
  <si>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</si>
  <si>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</si>
  <si>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</si>
  <si>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</si>
  <si>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</si>
  <si>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</si>
  <si>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</si>
  <si>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</si>
  <si>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</si>
  <si>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</si>
  <si>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</si>
  <si>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</si>
  <si>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</si>
  <si>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</si>
  <si>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</si>
  <si>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</si>
  <si>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</si>
  <si>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</si>
  <si>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</si>
  <si>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</si>
  <si>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</si>
  <si>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</si>
  <si>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</si>
  <si>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</si>
  <si>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</si>
  <si>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</si>
  <si>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</si>
  <si>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</si>
  <si>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</si>
  <si>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</si>
  <si>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</si>
  <si>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</si>
  <si>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</si>
  <si>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</si>
  <si>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</si>
  <si>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</si>
  <si>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</si>
  <si>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</si>
  <si>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</si>
  <si>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</si>
  <si>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</si>
  <si>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</si>
  <si>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</si>
  <si>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</si>
  <si>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</si>
  <si>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</si>
  <si>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</si>
  <si>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</si>
  <si>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</si>
  <si>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</si>
  <si>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</si>
  <si>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</si>
  <si>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</si>
  <si>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</si>
  <si>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</si>
  <si>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</si>
  <si>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</si>
  <si>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</si>
  <si>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</si>
  <si>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</si>
  <si>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</si>
  <si>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</si>
  <si>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</si>
  <si>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</si>
  <si>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</si>
  <si>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</si>
  <si>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</si>
  <si>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</si>
  <si>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</si>
  <si>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</si>
  <si>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</si>
  <si>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</si>
  <si>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</si>
  <si>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</si>
  <si>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</si>
  <si>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</si>
  <si>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</si>
  <si>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</si>
  <si>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</si>
  <si>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</si>
  <si>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</si>
  <si>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</si>
  <si>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</si>
  <si>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</si>
  <si>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</si>
  <si>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</si>
  <si>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</si>
  <si>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</si>
  <si>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</si>
  <si>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</si>
  <si>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</si>
  <si>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</si>
  <si>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</si>
  <si>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</si>
  <si>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</si>
  <si>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</si>
  <si>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</si>
  <si>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</si>
  <si>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</si>
  <si>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</si>
  <si>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</si>
  <si>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</si>
  <si>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</si>
  <si>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</si>
  <si>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</si>
  <si>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</si>
  <si>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</si>
  <si>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</si>
  <si>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</si>
  <si>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</si>
  <si>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</si>
  <si>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</si>
  <si>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</si>
  <si>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</si>
  <si>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</si>
  <si>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</si>
  <si>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</si>
  <si>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</si>
  <si>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</si>
  <si>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</si>
  <si>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</si>
  <si>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</si>
  <si>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</si>
  <si>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</si>
  <si>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</si>
  <si>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</si>
  <si>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</si>
  <si>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</si>
  <si>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</si>
  <si>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</si>
  <si>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</si>
  <si>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</si>
  <si>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</si>
  <si>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</si>
  <si>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</si>
  <si>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</si>
  <si>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</si>
  <si>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</si>
  <si>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</si>
  <si>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</si>
  <si>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</si>
  <si>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</si>
  <si>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</si>
  <si>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</si>
  <si>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</si>
  <si>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</si>
  <si>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</si>
  <si>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</si>
  <si>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</si>
  <si>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</si>
  <si>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</si>
  <si>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</si>
  <si>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</si>
  <si>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</si>
  <si>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</si>
  <si>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</si>
  <si>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</si>
  <si>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</si>
  <si>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</si>
  <si>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</si>
  <si>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</si>
  <si>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</si>
  <si>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</si>
  <si>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</si>
  <si>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</si>
  <si>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</si>
  <si>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</si>
  <si>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</si>
  <si>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</si>
  <si>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</si>
  <si>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</si>
  <si>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</si>
  <si>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</si>
  <si>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</si>
  <si>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</si>
  <si>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</si>
  <si>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</si>
  <si>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</si>
  <si>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</si>
  <si>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</si>
  <si>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</si>
  <si>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</si>
  <si>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</si>
  <si>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</si>
  <si>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</si>
  <si>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</si>
  <si>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</si>
  <si>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</si>
  <si>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</si>
  <si>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</si>
  <si>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</si>
  <si>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</si>
  <si>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</si>
  <si>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</si>
  <si>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</si>
  <si>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</si>
  <si>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</si>
  <si>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</si>
  <si>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</si>
  <si>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</si>
  <si>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</si>
  <si>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</si>
  <si>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</si>
  <si>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</si>
  <si>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</si>
  <si>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</si>
  <si>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</si>
  <si>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</si>
  <si>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</si>
  <si>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</si>
  <si>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</si>
  <si>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</si>
  <si>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</si>
  <si>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</si>
  <si>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</si>
  <si>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</si>
  <si>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</si>
  <si>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</si>
  <si>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</si>
  <si>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</si>
  <si>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</si>
  <si>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</si>
  <si>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</si>
  <si>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</si>
  <si>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</si>
  <si>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</si>
  <si>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</si>
  <si>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</si>
  <si>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</si>
  <si>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</si>
  <si>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</si>
  <si>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</si>
  <si>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</si>
  <si>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</si>
  <si>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</si>
  <si>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</si>
  <si>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</si>
  <si>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</si>
  <si>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</si>
  <si>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</si>
  <si>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</si>
  <si>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</si>
  <si>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</si>
  <si>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</si>
  <si>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</si>
  <si>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</si>
  <si>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</si>
  <si>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</si>
  <si>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</si>
  <si>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</si>
  <si>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</si>
  <si>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</si>
  <si>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</si>
  <si>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</si>
  <si>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</si>
  <si>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</si>
  <si>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</si>
  <si>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</si>
  <si>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</si>
  <si>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</si>
  <si>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</si>
  <si>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</si>
  <si>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</si>
  <si>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</si>
  <si>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</si>
  <si>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</si>
  <si>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</si>
  <si>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</si>
  <si>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</si>
  <si>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</si>
  <si>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</si>
  <si>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</si>
  <si>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</si>
  <si>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</si>
  <si>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</si>
  <si>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</si>
  <si>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</si>
  <si>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</si>
  <si>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</si>
  <si>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</si>
  <si>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</si>
  <si>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</si>
  <si>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</si>
  <si>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</si>
  <si>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</si>
  <si>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</si>
  <si>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</si>
  <si>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</si>
  <si>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</si>
  <si>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</si>
  <si>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</si>
  <si>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</si>
  <si>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</si>
  <si>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</si>
  <si>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</si>
  <si>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</si>
  <si>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</si>
  <si>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</si>
  <si>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</si>
  <si>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</si>
  <si>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</si>
  <si>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</si>
  <si>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</si>
  <si>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</si>
  <si>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</si>
  <si>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</si>
  <si>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</si>
  <si>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</si>
  <si>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</si>
  <si>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</si>
  <si>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</si>
  <si>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</si>
  <si>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</si>
  <si>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</si>
  <si>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</si>
  <si>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</si>
  <si>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</si>
  <si>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</si>
  <si>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</si>
  <si>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</si>
  <si>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</si>
  <si>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</si>
  <si>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</si>
  <si>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</si>
  <si>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</si>
  <si>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</si>
  <si>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</si>
  <si>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</si>
  <si>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</si>
  <si>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</si>
  <si>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</si>
  <si>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</si>
  <si>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</si>
  <si>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</si>
  <si>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</si>
  <si>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</si>
  <si>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</si>
  <si>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</si>
  <si>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</si>
  <si>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</si>
  <si>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</si>
  <si>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</si>
  <si>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</si>
  <si>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</si>
  <si>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</si>
  <si>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</si>
  <si>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</si>
  <si>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</si>
  <si>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</si>
  <si>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</si>
  <si>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</si>
  <si>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</si>
  <si>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</si>
  <si>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</si>
  <si>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</si>
  <si>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</si>
  <si>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</si>
  <si>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</si>
  <si>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</si>
  <si>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</si>
  <si>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</si>
  <si>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</si>
  <si>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</si>
  <si>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</si>
  <si>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</si>
  <si>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</si>
  <si>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</si>
  <si>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</si>
  <si>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</si>
  <si>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</si>
  <si>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</si>
  <si>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</si>
  <si>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</si>
  <si>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</si>
  <si>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</si>
  <si>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</si>
  <si>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</si>
  <si>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</si>
  <si>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</si>
  <si>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</si>
  <si>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</si>
  <si>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</si>
  <si>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</si>
  <si>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</si>
  <si>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</si>
  <si>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</si>
  <si>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</si>
  <si>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</si>
  <si>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</si>
  <si>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manufacturer</t>
  </si>
  <si>
    <t>currency</t>
  </si>
  <si>
    <t>quantity</t>
  </si>
  <si>
    <t>UPC</t>
  </si>
  <si>
    <t>USD</t>
  </si>
  <si>
    <t>LB</t>
  </si>
  <si>
    <t>IN</t>
  </si>
  <si>
    <t>A_GEN_NOTAX</t>
  </si>
  <si>
    <t>Accessory</t>
  </si>
  <si>
    <t>Variation</t>
  </si>
  <si>
    <t>feed_product_type</t>
  </si>
  <si>
    <t>Product Type</t>
  </si>
  <si>
    <t>item_sku</t>
  </si>
  <si>
    <t>Seller SKU</t>
  </si>
  <si>
    <t>brand_name</t>
  </si>
  <si>
    <t>Brand Name</t>
  </si>
  <si>
    <t>item_name</t>
  </si>
  <si>
    <t>Product Name</t>
  </si>
  <si>
    <t>Manufacturer</t>
  </si>
  <si>
    <t>external_product_id</t>
  </si>
  <si>
    <t>Product ID</t>
  </si>
  <si>
    <t>external_product_id_type</t>
  </si>
  <si>
    <t>Product ID Type</t>
  </si>
  <si>
    <t>item_type</t>
  </si>
  <si>
    <t>Item Type Keyword</t>
  </si>
  <si>
    <t>Quantity</t>
  </si>
  <si>
    <t>main_image_url</t>
  </si>
  <si>
    <t>Main Image URL</t>
  </si>
  <si>
    <t>other_image_url1</t>
  </si>
  <si>
    <t>Other Image URL1</t>
  </si>
  <si>
    <t>swatch_image_url</t>
  </si>
  <si>
    <t>Swatch Image URL</t>
  </si>
  <si>
    <t>parent_child</t>
  </si>
  <si>
    <t>Parentage</t>
  </si>
  <si>
    <t>parent_sku</t>
  </si>
  <si>
    <t>Parent SKU</t>
  </si>
  <si>
    <t>relationship_type</t>
  </si>
  <si>
    <t>Relationship Type</t>
  </si>
  <si>
    <t>variation_theme</t>
  </si>
  <si>
    <t>Variation Theme</t>
  </si>
  <si>
    <t>update_delete</t>
  </si>
  <si>
    <t>Update Delete</t>
  </si>
  <si>
    <t>gtin_exemption_reason</t>
  </si>
  <si>
    <t>Product Exemption Reason</t>
  </si>
  <si>
    <t>CustomProductBundle</t>
  </si>
  <si>
    <t>product_description</t>
  </si>
  <si>
    <t>Product Description</t>
  </si>
  <si>
    <t>part_number</t>
  </si>
  <si>
    <t>Manufacturer Part Number</t>
  </si>
  <si>
    <t>model</t>
  </si>
  <si>
    <t>model_name</t>
  </si>
  <si>
    <t>Model Name</t>
  </si>
  <si>
    <t>care_instructions</t>
  </si>
  <si>
    <t>Care Instructions</t>
  </si>
  <si>
    <t/>
  </si>
  <si>
    <t>Key Product Features</t>
  </si>
  <si>
    <t>generic_keywords</t>
  </si>
  <si>
    <t>Search Terms</t>
  </si>
  <si>
    <t>country_as_labeled</t>
  </si>
  <si>
    <t>Country/Region as Labeled</t>
  </si>
  <si>
    <t>number_of_pieces</t>
  </si>
  <si>
    <t>Number of Pieces</t>
  </si>
  <si>
    <t>scent_name</t>
  </si>
  <si>
    <t>Scent</t>
  </si>
  <si>
    <t>included_components</t>
  </si>
  <si>
    <t>Included Components</t>
  </si>
  <si>
    <t>color_name</t>
  </si>
  <si>
    <t>Color</t>
  </si>
  <si>
    <t>color_map</t>
  </si>
  <si>
    <t>Color Map</t>
  </si>
  <si>
    <t>Green</t>
  </si>
  <si>
    <t>size_name</t>
  </si>
  <si>
    <t>Size</t>
  </si>
  <si>
    <t>material_type</t>
  </si>
  <si>
    <t>Material Type</t>
  </si>
  <si>
    <t>wattage</t>
  </si>
  <si>
    <t>Wattage</t>
  </si>
  <si>
    <t>Additional Features</t>
  </si>
  <si>
    <t>pattern_name</t>
  </si>
  <si>
    <t>Pattern</t>
  </si>
  <si>
    <t>Striped</t>
  </si>
  <si>
    <t>Season of the Product</t>
  </si>
  <si>
    <t>Summer</t>
  </si>
  <si>
    <t>item_type_name</t>
  </si>
  <si>
    <t>Item Type</t>
  </si>
  <si>
    <t>wattage_unit_of_measure</t>
  </si>
  <si>
    <t>Wattage Unit of Measure</t>
  </si>
  <si>
    <t>length_range</t>
  </si>
  <si>
    <t>Length Range</t>
  </si>
  <si>
    <t>is_assembly_required</t>
  </si>
  <si>
    <t>Is Assembly Required</t>
  </si>
  <si>
    <t>number_of_shelves</t>
  </si>
  <si>
    <t>Number of Shelves</t>
  </si>
  <si>
    <t>number_of_boxes</t>
  </si>
  <si>
    <t>Number of Boxes</t>
  </si>
  <si>
    <t>number_of_compartments</t>
  </si>
  <si>
    <t>Number of Compartments</t>
  </si>
  <si>
    <t>fabric_weight</t>
  </si>
  <si>
    <t>Towel Weight</t>
  </si>
  <si>
    <t>item_shape</t>
  </si>
  <si>
    <t>Shape</t>
  </si>
  <si>
    <t>Round</t>
  </si>
  <si>
    <t>item_display_length_unit_of_measure</t>
  </si>
  <si>
    <t>Display Length Unit Of Measure</t>
  </si>
  <si>
    <t>item_display_width_unit_of_measure</t>
  </si>
  <si>
    <t>Item Display Width Unit Of Measure</t>
  </si>
  <si>
    <t>item_display_height_unit_of_measure</t>
  </si>
  <si>
    <t>Item Display Height Unit Of Measure</t>
  </si>
  <si>
    <t>item_display_length</t>
  </si>
  <si>
    <t>Item Display Length</t>
  </si>
  <si>
    <t>item_display_width</t>
  </si>
  <si>
    <t>Item Display Width</t>
  </si>
  <si>
    <t>item_display_height</t>
  </si>
  <si>
    <t>Item Display Height</t>
  </si>
  <si>
    <t>item_display_weight</t>
  </si>
  <si>
    <t>Item Display Weight</t>
  </si>
  <si>
    <t>item_display_weight_unit_of_measure</t>
  </si>
  <si>
    <t>Item Display Weight Unit Of Measure</t>
  </si>
  <si>
    <t>item_height</t>
  </si>
  <si>
    <t>Item Height</t>
  </si>
  <si>
    <t>item_length</t>
  </si>
  <si>
    <t>Item Length</t>
  </si>
  <si>
    <t>item_length_unit_of_measure</t>
  </si>
  <si>
    <t>Item Length Unit Of Measure</t>
  </si>
  <si>
    <t>item_width</t>
  </si>
  <si>
    <t>Item Width</t>
  </si>
  <si>
    <t>unit_count_type</t>
  </si>
  <si>
    <t>Unit of Measure (Per Unit Pricing)</t>
  </si>
  <si>
    <t>unit_count</t>
  </si>
  <si>
    <t>Unit Count (Per Unit Pricing)</t>
  </si>
  <si>
    <t>item_width_unit_of_measure</t>
  </si>
  <si>
    <t>Item Width Unit Of Measure</t>
  </si>
  <si>
    <t>fabric_weight_unit_of_measure</t>
  </si>
  <si>
    <t>Fabric Weight Unit</t>
  </si>
  <si>
    <t>Grams per Square Meter</t>
  </si>
  <si>
    <t>size_map</t>
  </si>
  <si>
    <t>Size Map</t>
  </si>
  <si>
    <t>width_range</t>
  </si>
  <si>
    <t>Width Range</t>
  </si>
  <si>
    <t>maximum_weight_recommendation_unit_of_measure</t>
  </si>
  <si>
    <t>Maximum Weight Recommendation Unit Of Measure</t>
  </si>
  <si>
    <t>item_height_unit_of_measure</t>
  </si>
  <si>
    <t>Item Height Unit Of Measure</t>
  </si>
  <si>
    <t>maximum_weight_recommendation</t>
  </si>
  <si>
    <t>Maximum Weight Recommendation</t>
  </si>
  <si>
    <t>fulfillment_center_id</t>
  </si>
  <si>
    <t>Fulfillment Center ID</t>
  </si>
  <si>
    <t>AMAZON_NA</t>
  </si>
  <si>
    <t>package_height</t>
  </si>
  <si>
    <t>Package Height</t>
  </si>
  <si>
    <t>package_width</t>
  </si>
  <si>
    <t>Package Width</t>
  </si>
  <si>
    <t>package_length</t>
  </si>
  <si>
    <t>Package Length</t>
  </si>
  <si>
    <t>package_length_unit_of_measure</t>
  </si>
  <si>
    <t>Package Length Unit Of Measure</t>
  </si>
  <si>
    <t>package_weight</t>
  </si>
  <si>
    <t>Package Weight</t>
  </si>
  <si>
    <t>package_weight_unit_of_measure</t>
  </si>
  <si>
    <t>Package Weight Unit Of Measure</t>
  </si>
  <si>
    <t>OZ</t>
  </si>
  <si>
    <t>package_height_unit_of_measure</t>
  </si>
  <si>
    <t>Package Height Unit Of Measure</t>
  </si>
  <si>
    <t>package_width_unit_of_measure</t>
  </si>
  <si>
    <t>Package Width Unit Of Measure</t>
  </si>
  <si>
    <t>warranty_description</t>
  </si>
  <si>
    <t>Manufacturer Warranty Description</t>
  </si>
  <si>
    <t>cpsia_cautionary_statement</t>
  </si>
  <si>
    <t>Cpsia Warning</t>
  </si>
  <si>
    <t>fabric_type</t>
  </si>
  <si>
    <t>Fabric Type</t>
  </si>
  <si>
    <t>item_volume</t>
  </si>
  <si>
    <t>Volume</t>
  </si>
  <si>
    <t>item_volume_unit_of_measure</t>
  </si>
  <si>
    <t>country_of_origin</t>
  </si>
  <si>
    <t>Country/Region of Origin</t>
  </si>
  <si>
    <t>are_batteries_included</t>
  </si>
  <si>
    <t>Batteries are Included</t>
  </si>
  <si>
    <t>item_weight</t>
  </si>
  <si>
    <t>Item Weight</t>
  </si>
  <si>
    <t>batteries_required</t>
  </si>
  <si>
    <t>Is this product a battery or does it utilize batteries?</t>
  </si>
  <si>
    <t>Battery type/size</t>
  </si>
  <si>
    <t>battery_type_lithium_ion</t>
  </si>
  <si>
    <t>item_weight_unit_of_measure</t>
  </si>
  <si>
    <t>KG</t>
  </si>
  <si>
    <t>Number of batteries</t>
  </si>
  <si>
    <t>lithium_battery_energy_content</t>
  </si>
  <si>
    <t>Watt hours per battery</t>
  </si>
  <si>
    <t>lithium_battery_packaging</t>
  </si>
  <si>
    <t>Lithium Battery Packaging</t>
  </si>
  <si>
    <t>lithium_battery_weight</t>
  </si>
  <si>
    <t>Lithium content (grams)</t>
  </si>
  <si>
    <t>number_of_lithium_ion_cells</t>
  </si>
  <si>
    <t>Number of Lithium-ion Cells</t>
  </si>
  <si>
    <t>number_of_lithium_metal_cells</t>
  </si>
  <si>
    <t>Number of Lithium Metal Cells</t>
  </si>
  <si>
    <t>battery_cell_composition</t>
  </si>
  <si>
    <t>Battery composition</t>
  </si>
  <si>
    <t>battery_weight</t>
  </si>
  <si>
    <t>Battery weight (grams)</t>
  </si>
  <si>
    <t>battery_weight_unit_of_measure</t>
  </si>
  <si>
    <t>lithium_battery_energy_content_unit_of_measure</t>
  </si>
  <si>
    <t>lithium_battery_weight_unit_of_measure</t>
  </si>
  <si>
    <t>Applicable Dangerous Goods Regulations</t>
  </si>
  <si>
    <t>hazmat_united_nations_regulatory_id</t>
  </si>
  <si>
    <t>UN number</t>
  </si>
  <si>
    <t>safety_data_sheet_url</t>
  </si>
  <si>
    <t>Safety Data Sheet (SDS) URL</t>
  </si>
  <si>
    <t>legal_compliance_certification_regulatory_organization_name</t>
  </si>
  <si>
    <t>Regulatory Organization Name</t>
  </si>
  <si>
    <t>California Environmental Protection Agency - Air Resources Board</t>
  </si>
  <si>
    <t>legal_compliance_certification_status</t>
  </si>
  <si>
    <t>Compliance Certification Status</t>
  </si>
  <si>
    <t>flash_point</t>
  </si>
  <si>
    <t>Flash point (°C)?</t>
  </si>
  <si>
    <t>Material/Fabric Regulations</t>
  </si>
  <si>
    <t>legal_compliance_certification_value</t>
  </si>
  <si>
    <t>Legal Compliance Certification</t>
  </si>
  <si>
    <t>Categorization/GHS pictograms (select all that apply)</t>
  </si>
  <si>
    <t>california_proposition_65_compliance_type</t>
  </si>
  <si>
    <t>California Proposition 65 Warning Type</t>
  </si>
  <si>
    <t>Furniture</t>
  </si>
  <si>
    <t>california_proposition_65_chemical_names1</t>
  </si>
  <si>
    <t>California Proposition 65 Chemical Names</t>
  </si>
  <si>
    <t>Pesticide Marking</t>
  </si>
  <si>
    <t>EPA Establishment Number</t>
  </si>
  <si>
    <t>Pesticide Registration Status</t>
  </si>
  <si>
    <t>Pesticide Certification Number</t>
  </si>
  <si>
    <t>merchant_shipping_group_name</t>
  </si>
  <si>
    <t>Shipping-Template</t>
  </si>
  <si>
    <t>list_price</t>
  </si>
  <si>
    <t>Manufacturer's Suggested Retail Price</t>
  </si>
  <si>
    <t>merchant_release_date</t>
  </si>
  <si>
    <t>Release Date</t>
  </si>
  <si>
    <t>Item Condition</t>
  </si>
  <si>
    <t>restock_date</t>
  </si>
  <si>
    <t>Restock Date</t>
  </si>
  <si>
    <t>fulfillment_latency</t>
  </si>
  <si>
    <t>Handling Time</t>
  </si>
  <si>
    <t>condition_note</t>
  </si>
  <si>
    <t>Offer Condition Note</t>
  </si>
  <si>
    <t>product_tax_code</t>
  </si>
  <si>
    <t>Product Tax Code</t>
  </si>
  <si>
    <t>item_package_quantity</t>
  </si>
  <si>
    <t>Package Quantity</t>
  </si>
  <si>
    <t>offering_can_be_gift_messaged</t>
  </si>
  <si>
    <t>Offering Can Be Gift Messaged</t>
  </si>
  <si>
    <t>offering_can_be_giftwrapped</t>
  </si>
  <si>
    <t>Is Gift Wrap Available</t>
  </si>
  <si>
    <t>max_order_quantity</t>
  </si>
  <si>
    <t>Max Order Quantity</t>
  </si>
  <si>
    <t>number_of_items</t>
  </si>
  <si>
    <t>Number of Items</t>
  </si>
  <si>
    <t>Offer (US, CA, MX)</t>
  </si>
  <si>
    <t>purchasable_offer[marketplace_id=ATVPDKIKX0DER]#1.discounted_price#1.schedule#1.value_with_tax</t>
  </si>
  <si>
    <t>Sale Price USD (US)</t>
  </si>
  <si>
    <t>purchasable_offer[marketplace_id=ATVPDKIKX0DER]#1.discounted_price#1.schedule#1.start_at</t>
  </si>
  <si>
    <t>Sale Start Date (US)</t>
  </si>
  <si>
    <t>purchasable_offer[marketplace_id=ATVPDKIKX0DER]#1.discounted_price#1.schedule#1.end_at</t>
  </si>
  <si>
    <t>Sale End Date (US)</t>
  </si>
  <si>
    <t>purchasable_offer[marketplace_id=ATVPDKIKX0DER]#1.end_at.value</t>
  </si>
  <si>
    <t>Stop Selling Date (US)</t>
  </si>
  <si>
    <t>purchasable_offer[marketplace_id=ATVPDKIKX0DER]#1.our_price#1.schedule#1.value_with_tax</t>
  </si>
  <si>
    <t>Your Price USD (US)</t>
  </si>
  <si>
    <t>purchasable_offer[marketplace_id=ATVPDKIKX0DER]#1.start_at.value</t>
  </si>
  <si>
    <t>Offering Release Date (US)</t>
  </si>
  <si>
    <t>purchasable_offer[marketplace_id=A2EUQ1WTGCTBG2]#1.discounted_price#1.schedule#1.value_with_tax</t>
  </si>
  <si>
    <t>Sale Price CAD (CA)</t>
  </si>
  <si>
    <t>purchasable_offer[marketplace_id=A2EUQ1WTGCTBG2]#1.discounted_price#1.schedule#1.start_at</t>
  </si>
  <si>
    <t>Sale Start Date (CA)</t>
  </si>
  <si>
    <t>purchasable_offer[marketplace_id=A2EUQ1WTGCTBG2]#1.discounted_price#1.schedule#1.end_at</t>
  </si>
  <si>
    <t>Sale End Date (CA)</t>
  </si>
  <si>
    <t>purchasable_offer[marketplace_id=A2EUQ1WTGCTBG2]#1.end_at.value</t>
  </si>
  <si>
    <t>Stop Selling Date (CA)</t>
  </si>
  <si>
    <t>purchasable_offer[marketplace_id=A2EUQ1WTGCTBG2]#1.our_price#1.schedule#1.value_with_tax</t>
  </si>
  <si>
    <t>Your Price CAD (CA)</t>
  </si>
  <si>
    <t>purchasable_offer[marketplace_id=A2EUQ1WTGCTBG2]#1.start_at.value</t>
  </si>
  <si>
    <t>Offering Release Date (CA)</t>
  </si>
  <si>
    <t>purchasable_offer[marketplace_id=A1AM78C64UM0Y8]#1.discounted_price#1.schedule#1.value_with_tax</t>
  </si>
  <si>
    <t>Sale Price MXN (MX)</t>
  </si>
  <si>
    <t>purchasable_offer[marketplace_id=A1AM78C64UM0Y8]#1.discounted_price#1.schedule#1.start_at</t>
  </si>
  <si>
    <t>Sale Start Date (MX)</t>
  </si>
  <si>
    <t>purchasable_offer[marketplace_id=A1AM78C64UM0Y8]#1.discounted_price#1.schedule#1.end_at</t>
  </si>
  <si>
    <t>Sale End Date (MX)</t>
  </si>
  <si>
    <t>purchasable_offer[marketplace_id=A1AM78C64UM0Y8]#1.end_at.value</t>
  </si>
  <si>
    <t>Stop Selling Date (MX)</t>
  </si>
  <si>
    <t>purchasable_offer[marketplace_id=A1AM78C64UM0Y8]#1.our_price#1.schedule#1.value_with_tax</t>
  </si>
  <si>
    <t>Your Price MXN (MX)</t>
  </si>
  <si>
    <t>purchasable_offer[marketplace_id=A1AM78C64UM0Y8]#1.start_at.value</t>
  </si>
  <si>
    <t>Offering Release Date (MX)</t>
  </si>
  <si>
    <t>business_price</t>
  </si>
  <si>
    <t>Business Price</t>
  </si>
  <si>
    <t>quantity_price_type</t>
  </si>
  <si>
    <t>Quantity Price Type</t>
  </si>
  <si>
    <t>Fixed</t>
  </si>
  <si>
    <t>quantity_lower_bound1</t>
  </si>
  <si>
    <t>Quantity Lower Bound 1</t>
  </si>
  <si>
    <t>quantity_price1</t>
  </si>
  <si>
    <t>Quantity Price 1</t>
  </si>
  <si>
    <t>national_stock_number</t>
  </si>
  <si>
    <t>National Stock Number</t>
  </si>
  <si>
    <t>progressive_discount_type</t>
  </si>
  <si>
    <t>Progressive Discount Type</t>
  </si>
  <si>
    <t>unspsc_code</t>
  </si>
  <si>
    <t>United Nations Standard Products and Services Code</t>
  </si>
  <si>
    <t>progressive_discount_lower_bound1</t>
  </si>
  <si>
    <t>Progressive Discount Lower Bound 1</t>
  </si>
  <si>
    <t>progressive_discount_value1</t>
  </si>
  <si>
    <t>Progressive Discount Value 1</t>
  </si>
  <si>
    <t>pricing_action</t>
  </si>
  <si>
    <t>Pricing Action</t>
  </si>
  <si>
    <t>delete business_price</t>
  </si>
  <si>
    <t>blanket</t>
  </si>
  <si>
    <t>california_proposition_65_chemical_names5</t>
  </si>
  <si>
    <t>special_features1</t>
  </si>
  <si>
    <t>supplier_declared_dg_hz_regulation1</t>
  </si>
  <si>
    <t>pesticide_marking_registration_status1</t>
  </si>
  <si>
    <t>pesticide_marking_type1</t>
  </si>
  <si>
    <t>seasons1</t>
  </si>
  <si>
    <t>ghs_classification_class1</t>
  </si>
  <si>
    <t>battery_type1</t>
  </si>
  <si>
    <t>supplier_declared_material_regulation1</t>
  </si>
  <si>
    <t>Butyl benzyl phthalate (BBP)d</t>
  </si>
  <si>
    <t>XK</t>
  </si>
  <si>
    <t>Aromatherapy</t>
  </si>
  <si>
    <t>Batteries packed with equipment</t>
  </si>
  <si>
    <t>GTIN</t>
  </si>
  <si>
    <t>Size-DisplayWidth</t>
  </si>
  <si>
    <t>Bagged</t>
  </si>
  <si>
    <t>Watt Hours</t>
  </si>
  <si>
    <t>JPY</t>
  </si>
  <si>
    <t>GHS</t>
  </si>
  <si>
    <t>This product is a pesticide or pesticide device, as defined under the U.S. Federal Insecticide, Fungicide, and Rodenticide Act.</t>
  </si>
  <si>
    <t>EPA Registration Number</t>
  </si>
  <si>
    <t>Polymer</t>
  </si>
  <si>
    <t>Beige</t>
  </si>
  <si>
    <t>Non Compliant</t>
  </si>
  <si>
    <t>Large</t>
  </si>
  <si>
    <t>All-Season</t>
  </si>
  <si>
    <t>ChokingHazardIsAMarble</t>
  </si>
  <si>
    <t>Nylon</t>
  </si>
  <si>
    <t>Oval</t>
  </si>
  <si>
    <t>Explosive</t>
  </si>
  <si>
    <t>Kilowatt Hours</t>
  </si>
  <si>
    <t>battery_type_aa</t>
  </si>
  <si>
    <t>Collectible - Very Good</t>
  </si>
  <si>
    <t>Migrated Template</t>
  </si>
  <si>
    <t>Manufacture on Demand</t>
  </si>
  <si>
    <t>Batteries included</t>
  </si>
  <si>
    <t>Bamboo</t>
  </si>
  <si>
    <t>cup</t>
  </si>
  <si>
    <t>Parent</t>
  </si>
  <si>
    <t>Alcoholic Beverage</t>
  </si>
  <si>
    <t>Abstract</t>
  </si>
  <si>
    <t>Count</t>
  </si>
  <si>
    <t>throw-blankets</t>
  </si>
  <si>
    <t>Di(2-ethylhexyl)phthalate (DEHP)</t>
  </si>
  <si>
    <t>Ascension Island</t>
  </si>
  <si>
    <t>Festive</t>
  </si>
  <si>
    <t>Batteries contained in equipment</t>
  </si>
  <si>
    <t>EAN</t>
  </si>
  <si>
    <t>ItemPackageQuantity-DisplayHeight</t>
  </si>
  <si>
    <t>Bagless</t>
  </si>
  <si>
    <t>Picowatts</t>
  </si>
  <si>
    <t>MXN</t>
  </si>
  <si>
    <t>Unknown</t>
  </si>
  <si>
    <t>This product is not a pesticide or pesticide device, as defined under the U.S. Federal Insecticide, Fungicide, and Rodenticide Act.</t>
  </si>
  <si>
    <t>silver_oxide</t>
  </si>
  <si>
    <t>Tons</t>
  </si>
  <si>
    <t>PartialUpdate</t>
  </si>
  <si>
    <t>Black</t>
  </si>
  <si>
    <t>Exempt</t>
  </si>
  <si>
    <t>Medium</t>
  </si>
  <si>
    <t>Autumn</t>
  </si>
  <si>
    <t>ChokingHazardContainsSmallBall</t>
  </si>
  <si>
    <t>Percent</t>
  </si>
  <si>
    <t>Aluminum</t>
  </si>
  <si>
    <t>Rectangular</t>
  </si>
  <si>
    <t>DEFAULT</t>
  </si>
  <si>
    <t>Flammable</t>
  </si>
  <si>
    <t>Joules</t>
  </si>
  <si>
    <t>battery_type_aaa</t>
  </si>
  <si>
    <t>Used - Good</t>
  </si>
  <si>
    <t>DS Blanket</t>
  </si>
  <si>
    <t>Plan Item</t>
  </si>
  <si>
    <t>Bulb included</t>
  </si>
  <si>
    <t>Fur</t>
  </si>
  <si>
    <t>Microliters</t>
  </si>
  <si>
    <t>delete quantity_price</t>
  </si>
  <si>
    <t>Child</t>
  </si>
  <si>
    <t>Chemical</t>
  </si>
  <si>
    <t>Bohemian</t>
  </si>
  <si>
    <t>Fl Oz</t>
  </si>
  <si>
    <t>Di-isodecyl phthalate (DIDP)</t>
  </si>
  <si>
    <t>Tristan da Cunha</t>
  </si>
  <si>
    <t>Floral</t>
  </si>
  <si>
    <t>Batteries only</t>
  </si>
  <si>
    <t>color-size</t>
  </si>
  <si>
    <t>Blackout</t>
  </si>
  <si>
    <t>Milliamp Hours</t>
  </si>
  <si>
    <t>EUR</t>
  </si>
  <si>
    <t>Other</t>
  </si>
  <si>
    <t>This product qualifies for an exemption from registration under the U.S. Federal Insecticide, Fungicide, and Rodenticide Act.</t>
  </si>
  <si>
    <t>Silver-Zinc</t>
  </si>
  <si>
    <t>Delete</t>
  </si>
  <si>
    <t>Blue</t>
  </si>
  <si>
    <t>Compliant</t>
  </si>
  <si>
    <t>Small</t>
  </si>
  <si>
    <t>Winter</t>
  </si>
  <si>
    <t>ContainsSmallMagnets</t>
  </si>
  <si>
    <t>Chenille</t>
  </si>
  <si>
    <t>Oxidizing</t>
  </si>
  <si>
    <t>Cubic Feet</t>
  </si>
  <si>
    <t>Club</t>
  </si>
  <si>
    <t>Free US Shipping</t>
  </si>
  <si>
    <t>Refurbished</t>
  </si>
  <si>
    <t>Fan Blade included</t>
  </si>
  <si>
    <t>Wool</t>
  </si>
  <si>
    <t>cubic_feet</t>
  </si>
  <si>
    <t>delete progressive_discount</t>
  </si>
  <si>
    <t>Diesel Engines</t>
  </si>
  <si>
    <t>Cartoon</t>
  </si>
  <si>
    <t>Ounce</t>
  </si>
  <si>
    <t>variation</t>
  </si>
  <si>
    <t>Diisononyl phthalate (DINP)</t>
  </si>
  <si>
    <t>Curacao</t>
  </si>
  <si>
    <t>Food</t>
  </si>
  <si>
    <t>ASIN</t>
  </si>
  <si>
    <t>Blinking</t>
  </si>
  <si>
    <t>Milliwatts</t>
  </si>
  <si>
    <t>GBP</t>
  </si>
  <si>
    <t>Not Applicable</t>
  </si>
  <si>
    <t>Zinc Chloride</t>
  </si>
  <si>
    <t>Brown</t>
  </si>
  <si>
    <t>X-Large</t>
  </si>
  <si>
    <t>ChokingHazardContainsAMarble</t>
  </si>
  <si>
    <t>Brass</t>
  </si>
  <si>
    <t>Square</t>
  </si>
  <si>
    <t>Compressed Gas</t>
  </si>
  <si>
    <t>battery_type_a</t>
  </si>
  <si>
    <t>Collectible - Acceptable</t>
  </si>
  <si>
    <t>ReplacementPart</t>
  </si>
  <si>
    <t>Includes 1 leaf</t>
  </si>
  <si>
    <t>centiliters</t>
  </si>
  <si>
    <t>Geometric</t>
  </si>
  <si>
    <t>Pound</t>
  </si>
  <si>
    <t>Di-n-butyl phthalate (DBP)</t>
  </si>
  <si>
    <t>Bonaire, Sint Eustatius and Saba</t>
  </si>
  <si>
    <t>Fresh</t>
  </si>
  <si>
    <t>ColorLength</t>
  </si>
  <si>
    <t>Cord Rewind</t>
  </si>
  <si>
    <t>Microwatts</t>
  </si>
  <si>
    <t>CAD</t>
  </si>
  <si>
    <t>Transportation</t>
  </si>
  <si>
    <t>Lithium-Cobalt</t>
  </si>
  <si>
    <t>Clear</t>
  </si>
  <si>
    <t>X-Small</t>
  </si>
  <si>
    <t>Spring</t>
  </si>
  <si>
    <t>ChokingHazardIsASmallBall</t>
  </si>
  <si>
    <t>Corduroy</t>
  </si>
  <si>
    <t>Corrosive</t>
  </si>
  <si>
    <t>Milliampere Hour (mAh)</t>
  </si>
  <si>
    <t>CR2032</t>
  </si>
  <si>
    <t>Collectible - Like New</t>
  </si>
  <si>
    <t>Pre-Order</t>
  </si>
  <si>
    <t>Includes 2 leaves</t>
  </si>
  <si>
    <t>gallon</t>
  </si>
  <si>
    <t>Gram</t>
  </si>
  <si>
    <t>Di-n-hexyl phthalate (DnHP)</t>
  </si>
  <si>
    <t>South Sudan</t>
  </si>
  <si>
    <t>Fruit</t>
  </si>
  <si>
    <t>Weight</t>
  </si>
  <si>
    <t>Corded</t>
  </si>
  <si>
    <t>Waste</t>
  </si>
  <si>
    <t>Lithium-Phosphate</t>
  </si>
  <si>
    <t>MG</t>
  </si>
  <si>
    <t>Gold</t>
  </si>
  <si>
    <t>XX-Large</t>
  </si>
  <si>
    <t>ChokingHazardBalloon</t>
  </si>
  <si>
    <t>Glass</t>
  </si>
  <si>
    <t>Toxic</t>
  </si>
  <si>
    <t>Cubic Meters</t>
  </si>
  <si>
    <t>battery_type_cr2</t>
  </si>
  <si>
    <t>Used - Like New</t>
  </si>
  <si>
    <t>Includes 3 leaves</t>
  </si>
  <si>
    <t>quart</t>
  </si>
  <si>
    <t>On Product Cancer</t>
  </si>
  <si>
    <t>Solid</t>
  </si>
  <si>
    <t>Foot</t>
  </si>
  <si>
    <t>Formaldehyde (gas)</t>
  </si>
  <si>
    <t>Saint Barthelemy</t>
  </si>
  <si>
    <t>Scented</t>
  </si>
  <si>
    <t>DisplayWeight-Material</t>
  </si>
  <si>
    <t>Cordless</t>
  </si>
  <si>
    <t>Kilowatts</t>
  </si>
  <si>
    <t>INR</t>
  </si>
  <si>
    <t>Storage</t>
  </si>
  <si>
    <t>Lead-Acid, AGM</t>
  </si>
  <si>
    <t>GR</t>
  </si>
  <si>
    <t>XX-Small</t>
  </si>
  <si>
    <t>NoWarningApplicable</t>
  </si>
  <si>
    <t>Velvet</t>
  </si>
  <si>
    <t>Irritant</t>
  </si>
  <si>
    <t>Milliamp Hours (mAh)</t>
  </si>
  <si>
    <t>battery_type_c</t>
  </si>
  <si>
    <t>Collectible - Good</t>
  </si>
  <si>
    <t>Includes 4 leaves</t>
  </si>
  <si>
    <t>Nanoliters</t>
  </si>
  <si>
    <t>On Product Combined Cancer Reproductive</t>
  </si>
  <si>
    <t>Checkered</t>
  </si>
  <si>
    <t>Sq Ft</t>
  </si>
  <si>
    <t>Lead</t>
  </si>
  <si>
    <t>Montenegro</t>
  </si>
  <si>
    <t>Spice</t>
  </si>
  <si>
    <t>Color-ItemPackageQuantity</t>
  </si>
  <si>
    <t>Cyclonic</t>
  </si>
  <si>
    <t>Nanowatts</t>
  </si>
  <si>
    <t>CNY</t>
  </si>
  <si>
    <t>Lithium-Thionyl Chloride (Li-SOCL2)</t>
  </si>
  <si>
    <t>Hundredths Pounds</t>
  </si>
  <si>
    <t>Grey</t>
  </si>
  <si>
    <t>XXX-Large</t>
  </si>
  <si>
    <t>ChokingHazardSmallParts</t>
  </si>
  <si>
    <t>Cotton</t>
  </si>
  <si>
    <t>Health Hazard</t>
  </si>
  <si>
    <t>Milliampere Second (mAs)</t>
  </si>
  <si>
    <t>CR2430</t>
  </si>
  <si>
    <t>Light kit inlcuded</t>
  </si>
  <si>
    <t>liter</t>
  </si>
  <si>
    <t>On Product Reproductive</t>
  </si>
  <si>
    <t>Polka Dot</t>
  </si>
  <si>
    <t>Lead acetate</t>
  </si>
  <si>
    <t>Saint Martin</t>
  </si>
  <si>
    <t>Unscented</t>
  </si>
  <si>
    <t>DisplayHeight</t>
  </si>
  <si>
    <t>HEPA Filtration</t>
  </si>
  <si>
    <t>Watts</t>
  </si>
  <si>
    <t>manganese</t>
  </si>
  <si>
    <t>Ivory</t>
  </si>
  <si>
    <t>XXX-Small</t>
  </si>
  <si>
    <t>Bamboo-Derived Rayon</t>
  </si>
  <si>
    <t>Environmentally Damaging</t>
  </si>
  <si>
    <t>British Thermal Units (BTUs)</t>
  </si>
  <si>
    <t>battery_type_d</t>
  </si>
  <si>
    <t>Used - Very Good</t>
  </si>
  <si>
    <t>Shade included</t>
  </si>
  <si>
    <t>Picoliters</t>
  </si>
  <si>
    <t>Passenger or Off Road Vehicle</t>
  </si>
  <si>
    <t>Bordered</t>
  </si>
  <si>
    <t>Lead and lead compounds</t>
  </si>
  <si>
    <t>East Timor</t>
  </si>
  <si>
    <t>Size-Scent</t>
  </si>
  <si>
    <t>Headlight</t>
  </si>
  <si>
    <t>Lithium Polymer</t>
  </si>
  <si>
    <t>Multi</t>
  </si>
  <si>
    <t>XXXX-Large</t>
  </si>
  <si>
    <t>Polyresin</t>
  </si>
  <si>
    <t>Amazon Specific No Label With Warning</t>
  </si>
  <si>
    <t>battery_type_cr5</t>
  </si>
  <si>
    <t>Used - Acceptable</t>
  </si>
  <si>
    <t>Unknown modifier</t>
  </si>
  <si>
    <t>Raw Wood</t>
  </si>
  <si>
    <t>Patchwork</t>
  </si>
  <si>
    <t>Lead phosphate</t>
  </si>
  <si>
    <t>United Kingdom</t>
  </si>
  <si>
    <t>Material-DisplayHeight</t>
  </si>
  <si>
    <t>Lined</t>
  </si>
  <si>
    <t>sealed_lead_acid</t>
  </si>
  <si>
    <t>Orange</t>
  </si>
  <si>
    <t>XXXX-Small</t>
  </si>
  <si>
    <t>ABS</t>
  </si>
  <si>
    <t>battery_type_aaaa</t>
  </si>
  <si>
    <t>fluid-oz</t>
  </si>
  <si>
    <t>Recreational Vessel</t>
  </si>
  <si>
    <t>Paisley</t>
  </si>
  <si>
    <t>Lead subacetate</t>
  </si>
  <si>
    <t>Netherlands</t>
  </si>
  <si>
    <t>Length</t>
  </si>
  <si>
    <t>Pet Tools</t>
  </si>
  <si>
    <t>lithium_metal</t>
  </si>
  <si>
    <t>Pink</t>
  </si>
  <si>
    <t>XXXXX-Large</t>
  </si>
  <si>
    <t>Silk</t>
  </si>
  <si>
    <t>cubic_meters</t>
  </si>
  <si>
    <t>Star</t>
  </si>
  <si>
    <t>1-(2-Chloroethyl)-3-(4-methylcyclohexyl)-1-nitrosourea (Methyl-CCNU)</t>
  </si>
  <si>
    <t>American Samoa</t>
  </si>
  <si>
    <t>Material-DisplayWidth</t>
  </si>
  <si>
    <t>Prelit</t>
  </si>
  <si>
    <t>NiCAD</t>
  </si>
  <si>
    <t>Purple</t>
  </si>
  <si>
    <t>XXXXX-Small</t>
  </si>
  <si>
    <t>Egyptian Cotton</t>
  </si>
  <si>
    <t>battery_type_p76</t>
  </si>
  <si>
    <t>pint</t>
  </si>
  <si>
    <t>Animal</t>
  </si>
  <si>
    <t>1-(2-Chloroethyl)-3-cyclohexyl-1-nitrosourea (CCNU) (Lomustine)</t>
  </si>
  <si>
    <t>Burkina Faso</t>
  </si>
  <si>
    <t>DisplayWeight-DisplayHeight</t>
  </si>
  <si>
    <t>Seasonal lights</t>
  </si>
  <si>
    <t>Lithium</t>
  </si>
  <si>
    <t>Red</t>
  </si>
  <si>
    <t>Satin</t>
  </si>
  <si>
    <t>battery_type_product_specific</t>
  </si>
  <si>
    <t>cubic_yards</t>
  </si>
  <si>
    <t>1,1,1,2-Tetrachloroethane</t>
  </si>
  <si>
    <t>Puerto Rico</t>
  </si>
  <si>
    <t>DisplayWidth-DisplayHeight</t>
  </si>
  <si>
    <t>Self-Propelled</t>
  </si>
  <si>
    <t>Lithium-Nickel Cobalt Aluminum (NCA)</t>
  </si>
  <si>
    <t>Silver</t>
  </si>
  <si>
    <t>Stainless Steel</t>
  </si>
  <si>
    <t>cubic_inches</t>
  </si>
  <si>
    <t>Plaid</t>
  </si>
  <si>
    <t>1,1,2,2-Tetrachloroethane</t>
  </si>
  <si>
    <t>New Zealand</t>
  </si>
  <si>
    <t>Trees, Wreaths &amp; Garlands</t>
  </si>
  <si>
    <t>Lead Calcium</t>
  </si>
  <si>
    <t>White</t>
  </si>
  <si>
    <t>Resin</t>
  </si>
  <si>
    <t>battery_type_lithium_metal</t>
  </si>
  <si>
    <t>imperial_gallons</t>
  </si>
  <si>
    <t>Chevron</t>
  </si>
  <si>
    <t>1,1-Dichloro-2,2-bis(p-chloropheny)ethylene (DDE)</t>
  </si>
  <si>
    <t>Lithuania</t>
  </si>
  <si>
    <t>Color-DisplayHeight</t>
  </si>
  <si>
    <t>Unlit</t>
  </si>
  <si>
    <t>Lithium-Nickel Manganese Cobalt (NMC)</t>
  </si>
  <si>
    <t>Yellow</t>
  </si>
  <si>
    <t>Rayon</t>
  </si>
  <si>
    <t>LR41</t>
  </si>
  <si>
    <t>milliliter</t>
  </si>
  <si>
    <t>Tartan</t>
  </si>
  <si>
    <t>1,1-Dichloroethane</t>
  </si>
  <si>
    <t>Italy</t>
  </si>
  <si>
    <t>WidthRange</t>
  </si>
  <si>
    <t>Vacuums</t>
  </si>
  <si>
    <t>aluminum_oxygen</t>
  </si>
  <si>
    <t>Chrome</t>
  </si>
  <si>
    <t>Nonstandard Battery</t>
  </si>
  <si>
    <t>cubic_centimeters</t>
  </si>
  <si>
    <t>1,1-Dimethylhydrazine (UDMH)</t>
  </si>
  <si>
    <t>Morocco</t>
  </si>
  <si>
    <t>DisplayWeight-ItemPackageQuantity</t>
  </si>
  <si>
    <t>Window Treatments</t>
  </si>
  <si>
    <t>Mercury Oxide</t>
  </si>
  <si>
    <t>Memory Foam</t>
  </si>
  <si>
    <t>battery_type_cr123a</t>
  </si>
  <si>
    <t>Deciliters</t>
  </si>
  <si>
    <t>1,2,3-Trichloropropane</t>
  </si>
  <si>
    <t>Lesotho</t>
  </si>
  <si>
    <t>Material-DisplayLength</t>
  </si>
  <si>
    <t>Trees</t>
  </si>
  <si>
    <t>Nickel-Iron</t>
  </si>
  <si>
    <t>Jersey</t>
  </si>
  <si>
    <t>LR44</t>
  </si>
  <si>
    <t>1,2-Dibromo-3-chloropropane (DBCP)</t>
  </si>
  <si>
    <t>French Guiana</t>
  </si>
  <si>
    <t>ItemPackageQuantity-Material</t>
  </si>
  <si>
    <t>Zinc</t>
  </si>
  <si>
    <t>Rubber</t>
  </si>
  <si>
    <t>battery_type_12v</t>
  </si>
  <si>
    <t>1,2-Dichloropropane</t>
  </si>
  <si>
    <t>Kenya</t>
  </si>
  <si>
    <t>Size-DisplayLength</t>
  </si>
  <si>
    <t>Lithium Ion</t>
  </si>
  <si>
    <t>Goose Down</t>
  </si>
  <si>
    <t>battery_type_9v</t>
  </si>
  <si>
    <t>1,2-Diethylhydrazine</t>
  </si>
  <si>
    <t>Democratic Republic of the Congo</t>
  </si>
  <si>
    <t>LengthRange</t>
  </si>
  <si>
    <t>Lithium-Air</t>
  </si>
  <si>
    <t>Polyester</t>
  </si>
  <si>
    <t>1,2-Dimethylhydrazine</t>
  </si>
  <si>
    <t>XY</t>
  </si>
  <si>
    <t>widthrange-lengthrange</t>
  </si>
  <si>
    <t>Alkaline</t>
  </si>
  <si>
    <t>Vinyl</t>
  </si>
  <si>
    <t>1,3-Butadiene</t>
  </si>
  <si>
    <t>United States</t>
  </si>
  <si>
    <t>Size-DisplayWeight</t>
  </si>
  <si>
    <t>lithium_manganese_dioxide</t>
  </si>
  <si>
    <t>Wood</t>
  </si>
  <si>
    <t>1,3-Dichloro-2-propanol (1,3-DCP)</t>
  </si>
  <si>
    <t>Slovakia</t>
  </si>
  <si>
    <t>Color-DisplayWeight</t>
  </si>
  <si>
    <t>Nickel Oxyhydroxide</t>
  </si>
  <si>
    <t>Silicone</t>
  </si>
  <si>
    <t>1,3-Dichloropropene</t>
  </si>
  <si>
    <t>Armenia</t>
  </si>
  <si>
    <t>Color-Material</t>
  </si>
  <si>
    <t>Zinc Carbon</t>
  </si>
  <si>
    <t>Flannel</t>
  </si>
  <si>
    <t>1,3-Dinitropyrene</t>
  </si>
  <si>
    <t>Northern Mariana Islands</t>
  </si>
  <si>
    <t>Color-DisplayWidth</t>
  </si>
  <si>
    <t>NiMh</t>
  </si>
  <si>
    <t>Steel</t>
  </si>
  <si>
    <t>1,3-Propane sultone</t>
  </si>
  <si>
    <t>Mali</t>
  </si>
  <si>
    <t>ItemPackageQuantity</t>
  </si>
  <si>
    <t>Nickel-Zinc</t>
  </si>
  <si>
    <t>Organic Cotton</t>
  </si>
  <si>
    <t>1,4-Butanediol dimethanesulfonate (Busulfan)</t>
  </si>
  <si>
    <t>Indonesia</t>
  </si>
  <si>
    <t>DisplayLength-DisplayHeight</t>
  </si>
  <si>
    <t>Lithium-Titanate</t>
  </si>
  <si>
    <t>Microfiber</t>
  </si>
  <si>
    <t>1,4-Dichloro-2-butene</t>
  </si>
  <si>
    <t>El Salvador</t>
  </si>
  <si>
    <t>Silver-Calcium</t>
  </si>
  <si>
    <t>Foam</t>
  </si>
  <si>
    <t>1,4-Dioxane</t>
  </si>
  <si>
    <t>Niue</t>
  </si>
  <si>
    <t>Material</t>
  </si>
  <si>
    <t>Zinc-Air</t>
  </si>
  <si>
    <t>Polyurethane</t>
  </si>
  <si>
    <t>1,6-Dinitropyrene</t>
  </si>
  <si>
    <t>Cameroon</t>
  </si>
  <si>
    <t>Size-DisplayHeight</t>
  </si>
  <si>
    <t>lead_acid</t>
  </si>
  <si>
    <t>Ceramic</t>
  </si>
  <si>
    <t>1,8-Dinitropyrene</t>
  </si>
  <si>
    <t>Serbia</t>
  </si>
  <si>
    <t>SizeName, Frame Material</t>
  </si>
  <si>
    <t>Linen</t>
  </si>
  <si>
    <t>1-[(5-Nitrofurfurylidene)-amino]-2-imidazolidinone</t>
  </si>
  <si>
    <t>Nepal</t>
  </si>
  <si>
    <t>ItemPackageQuantitySize</t>
  </si>
  <si>
    <t>Flax</t>
  </si>
  <si>
    <t>1-Amino-2,4-dibromoanthraquinone</t>
  </si>
  <si>
    <t>Mauritius</t>
  </si>
  <si>
    <t>LengthWidth</t>
  </si>
  <si>
    <t>Fleece</t>
  </si>
  <si>
    <t>1-Amino-2-methylanthraquinone</t>
  </si>
  <si>
    <t>Netherlands Antilles</t>
  </si>
  <si>
    <t>Sizename-Colorname</t>
  </si>
  <si>
    <t>PVC</t>
  </si>
  <si>
    <t>1-Bromopropane (1-BP)</t>
  </si>
  <si>
    <t>Guadeloupe</t>
  </si>
  <si>
    <t>SizeName</t>
  </si>
  <si>
    <t>1-Chloro-4-nitrobenzene</t>
  </si>
  <si>
    <t>Gabon</t>
  </si>
  <si>
    <t>MaterialSize</t>
  </si>
  <si>
    <t>1-Hydroxyanthraquinone</t>
  </si>
  <si>
    <t>Bouvet Island</t>
  </si>
  <si>
    <t>ItemPackageQuantityColor</t>
  </si>
  <si>
    <t>Acrylic</t>
  </si>
  <si>
    <t>1-Naphthylamine</t>
  </si>
  <si>
    <t>Ecuador</t>
  </si>
  <si>
    <t>ColorName</t>
  </si>
  <si>
    <t>Micro Fleece</t>
  </si>
  <si>
    <t>1-Nitropyrene</t>
  </si>
  <si>
    <t>Finland</t>
  </si>
  <si>
    <t>2-(2-Formylhydrazino)-4-(5-nitro-2-furyl)thiazole</t>
  </si>
  <si>
    <t>Svalbard</t>
  </si>
  <si>
    <t>2,2-Bis(bromomethyl)-1,3-propanediol</t>
  </si>
  <si>
    <t>Mongolia</t>
  </si>
  <si>
    <t>2,3,7,8-Tetrachlorodibenzo-p-dioxin (TCDD)</t>
  </si>
  <si>
    <t>Samoa</t>
  </si>
  <si>
    <t>2,3-Dibromo-1-propanol</t>
  </si>
  <si>
    <t>Belize</t>
  </si>
  <si>
    <t>2,4,5-Trimethylaniline and its strong acid salts</t>
  </si>
  <si>
    <t>Poland</t>
  </si>
  <si>
    <t>2,4,6-Trichlorophenol</t>
  </si>
  <si>
    <t>Angola</t>
  </si>
  <si>
    <t>2,4,6-Trinitrotoluene (TNT)</t>
  </si>
  <si>
    <t>Martinique</t>
  </si>
  <si>
    <t>2,4-D butyric acid</t>
  </si>
  <si>
    <t>Vanuatu</t>
  </si>
  <si>
    <t>2,4-Diamino-6-chloro-s-triazine (DACT)</t>
  </si>
  <si>
    <t>Guinea</t>
  </si>
  <si>
    <t>2,4-Diaminoanisole</t>
  </si>
  <si>
    <t>Uruguay</t>
  </si>
  <si>
    <t>2,4-Diaminoanisole sulfate</t>
  </si>
  <si>
    <t>Saint Helena</t>
  </si>
  <si>
    <t>2,4-Diaminotoluene</t>
  </si>
  <si>
    <t>Western Sahara</t>
  </si>
  <si>
    <t>2,4-Dinitrotoluene</t>
  </si>
  <si>
    <t>Yugoslavia</t>
  </si>
  <si>
    <t>2,4-Hexadienal (89% trans, trans isomer; 11% cis, trans isomer)</t>
  </si>
  <si>
    <t>Guinea-Bissau</t>
  </si>
  <si>
    <t>2,5-Hexanedione</t>
  </si>
  <si>
    <t>Brazil</t>
  </si>
  <si>
    <t>2,6-Dimethyl-N-nitrosomorpholine (DMNM)</t>
  </si>
  <si>
    <t>Kuwait</t>
  </si>
  <si>
    <t>2,6-Dinitrotoluene</t>
  </si>
  <si>
    <t>Antarctica</t>
  </si>
  <si>
    <t>2,6-Xylidine (2,6-Dimethylaniline)</t>
  </si>
  <si>
    <t>Ivory Coast</t>
  </si>
  <si>
    <t>2-Acetylaminofluorene</t>
  </si>
  <si>
    <t>Macedonia</t>
  </si>
  <si>
    <t>2-Amino-5-(5-nitro-2-furyl)-1,3,4-thiadiazole</t>
  </si>
  <si>
    <t>Tuvalu</t>
  </si>
  <si>
    <t>2-Aminoanthraquinone</t>
  </si>
  <si>
    <t>Venezuela</t>
  </si>
  <si>
    <t>2-Aminofluorene</t>
  </si>
  <si>
    <t>Djibouti</t>
  </si>
  <si>
    <t>2-Bromopropane (2-BP)</t>
  </si>
  <si>
    <t>Tunisia</t>
  </si>
  <si>
    <t>2-Chloropropionic acid</t>
  </si>
  <si>
    <t>Palau</t>
  </si>
  <si>
    <t>2âMercaptobenzothiazole</t>
  </si>
  <si>
    <t>Malaysia</t>
  </si>
  <si>
    <t>2-Methyl-1-nitroanthraquinone (of uncertain purity)</t>
  </si>
  <si>
    <t>Tajikistan</t>
  </si>
  <si>
    <t>2-Methylaziridine (Propyleneimine)</t>
  </si>
  <si>
    <t>Equatorial Guinea</t>
  </si>
  <si>
    <t>2-Methylimidazole</t>
  </si>
  <si>
    <t>Costa Rica</t>
  </si>
  <si>
    <t>2-Naphthylamine</t>
  </si>
  <si>
    <t>Senegal</t>
  </si>
  <si>
    <t>2-Nitrofluorene</t>
  </si>
  <si>
    <t>Reunion</t>
  </si>
  <si>
    <t>2-Nitropropane</t>
  </si>
  <si>
    <t>Laos</t>
  </si>
  <si>
    <t>3-(N-Nitrosomethylamino) propionitrile</t>
  </si>
  <si>
    <t>Burma (Myanmar)</t>
  </si>
  <si>
    <t>3,3',4,4'-Tetrachloroazobenzene</t>
  </si>
  <si>
    <t>Grenada</t>
  </si>
  <si>
    <t>3,3'-Dichloro-4,4'-diamino-diphenyl ether</t>
  </si>
  <si>
    <t>Central African Republic</t>
  </si>
  <si>
    <t>3,3'-Dichlorobenzidine</t>
  </si>
  <si>
    <t>Barbados</t>
  </si>
  <si>
    <t>3,3'-Dichlorobenzidine dihydrochloride</t>
  </si>
  <si>
    <t>Pitcairn Islands</t>
  </si>
  <si>
    <t>3,3'-Dimethoxybenzidine (o-Dianisidine)</t>
  </si>
  <si>
    <t>Wallis and Futuna</t>
  </si>
  <si>
    <t>3,3'-Dimethoxybenzidine dihydrochloride</t>
  </si>
  <si>
    <t>Cambodia</t>
  </si>
  <si>
    <t>3,3'-Dimethoxybenzidine-based dyes metabolized to 3,3'-dimethoxybenzidine</t>
  </si>
  <si>
    <t>Andorra</t>
  </si>
  <si>
    <t>3,3'-Dimethylbenzidine (ortho-Tolidine)</t>
  </si>
  <si>
    <t>3,3'-Dimethylbenzidine dihydrochloride</t>
  </si>
  <si>
    <t>Greece</t>
  </si>
  <si>
    <t>3,3'-Dimethylbenzidine-based dyes metabolized to 3,3'-dimethylbenzidine</t>
  </si>
  <si>
    <t>Israel</t>
  </si>
  <si>
    <t>3,7-Dinitrofluoranthene</t>
  </si>
  <si>
    <t>British Indian Ocean Territory</t>
  </si>
  <si>
    <t>3,9-Dinitrofluoranthene</t>
  </si>
  <si>
    <t>North Korea</t>
  </si>
  <si>
    <t>3-Amino-9-ethylcarbazole hydrochloride</t>
  </si>
  <si>
    <t>Egypt</t>
  </si>
  <si>
    <t>3-Chloro-2-methylpropene</t>
  </si>
  <si>
    <t>Comoros</t>
  </si>
  <si>
    <t>3-Methylcholanthrene</t>
  </si>
  <si>
    <t>Heard and McDonald Islands</t>
  </si>
  <si>
    <t>3-Monochloropropane-1,2-diol (3-MCPD)</t>
  </si>
  <si>
    <t>Haiti</t>
  </si>
  <si>
    <t>4-(N-Nitrosomethylamino)-1-(3-pyridyl)1-butanone</t>
  </si>
  <si>
    <t>Liberia</t>
  </si>
  <si>
    <t>4,4'-Diaminodiphenyl ether (4,4'-Oxydianiline)</t>
  </si>
  <si>
    <t>Uzbekistan</t>
  </si>
  <si>
    <t>4,4'-Methylene bis(2-chloroaniline)</t>
  </si>
  <si>
    <t>Afghanistan</t>
  </si>
  <si>
    <t>4,4'-Methylene bis(2-methylaniline)</t>
  </si>
  <si>
    <t>Bermuda</t>
  </si>
  <si>
    <t>4,4'-Methylene bis(N,N-dimethyl)benzenamine</t>
  </si>
  <si>
    <t>Tanzania</t>
  </si>
  <si>
    <t>4,4'-Methylenedianiline</t>
  </si>
  <si>
    <t>4,4'-Methylenedianiline dihydrochloride</t>
  </si>
  <si>
    <t>Pakistan</t>
  </si>
  <si>
    <t>4,4'-Thiodianiline</t>
  </si>
  <si>
    <t>Eritrea</t>
  </si>
  <si>
    <t>4-Amino-2-nitrophenol</t>
  </si>
  <si>
    <t>Taiwan</t>
  </si>
  <si>
    <t>4-Aminobiphenyl (4-aminodiphenyl)</t>
  </si>
  <si>
    <t>South Korea</t>
  </si>
  <si>
    <t>4-Chloro-o-phenylenediamine</t>
  </si>
  <si>
    <t>Guyana</t>
  </si>
  <si>
    <t>4-Dimethylaminoazobenzene</t>
  </si>
  <si>
    <t>Turks And Caicos Islands</t>
  </si>
  <si>
    <t>4-Methylimidazole</t>
  </si>
  <si>
    <t>French Polynesia</t>
  </si>
  <si>
    <t>4-Nitrobiphenyl</t>
  </si>
  <si>
    <t>Saint Kitts And Nevis</t>
  </si>
  <si>
    <t>4-Nitropyrene</t>
  </si>
  <si>
    <t>China</t>
  </si>
  <si>
    <t>4-Vinyl-1-cyclohexene diepoxide (Vinyl cyclohexenedioxide)</t>
  </si>
  <si>
    <t>Falkland Islands</t>
  </si>
  <si>
    <t>4-Vinylcyclohexene</t>
  </si>
  <si>
    <t>Saint Pierre and Miquelon</t>
  </si>
  <si>
    <t>5-(Morpholinomethyl)-3-[(5-nitrofurfuryl-idene)-amino]-2-oxazolidinone</t>
  </si>
  <si>
    <t>Saint Lucia</t>
  </si>
  <si>
    <t>5-Chloro-o-toluidine and its strong acid salts</t>
  </si>
  <si>
    <t>Jamaica</t>
  </si>
  <si>
    <t>5-Methoxypsoralen with ultraviolet A therapy</t>
  </si>
  <si>
    <t>XE</t>
  </si>
  <si>
    <t>5-Methylchrysene</t>
  </si>
  <si>
    <t>Burundi</t>
  </si>
  <si>
    <t>5-Nitroacenaphthene</t>
  </si>
  <si>
    <t>Honduras</t>
  </si>
  <si>
    <t>6-Nitrochrysene</t>
  </si>
  <si>
    <t>Republic of the Congo</t>
  </si>
  <si>
    <t>7,12-Dimethylbenz(a)anthracene</t>
  </si>
  <si>
    <t>Kyrgyzstan</t>
  </si>
  <si>
    <t>7H-Dibenzo[c,g]carbazole</t>
  </si>
  <si>
    <t>Bolivia</t>
  </si>
  <si>
    <t>8-Methoxypsoralen with ultraviolet A therapy</t>
  </si>
  <si>
    <t>Canada</t>
  </si>
  <si>
    <t>A-alpha-C (2-Amino-9H-pyrido[2,3-b]indole)</t>
  </si>
  <si>
    <t>Ghana</t>
  </si>
  <si>
    <t>Abiraterone acetate</t>
  </si>
  <si>
    <t>Aland Islands</t>
  </si>
  <si>
    <t>Acetaldehyde</t>
  </si>
  <si>
    <t>Ireland</t>
  </si>
  <si>
    <t>Acetamide</t>
  </si>
  <si>
    <t>Monaco</t>
  </si>
  <si>
    <t>Acetazolamide</t>
  </si>
  <si>
    <t>Vietnam</t>
  </si>
  <si>
    <t>Acetochlor</t>
  </si>
  <si>
    <t>Guatemala</t>
  </si>
  <si>
    <t>Acetohydroxamic acid</t>
  </si>
  <si>
    <t>Iceland</t>
  </si>
  <si>
    <t>Acifluorfen sodium</t>
  </si>
  <si>
    <t>Cook Islands</t>
  </si>
  <si>
    <t>Acrylamide</t>
  </si>
  <si>
    <t>Liechtenstein</t>
  </si>
  <si>
    <t>Acrylonitrile</t>
  </si>
  <si>
    <t>Cuba</t>
  </si>
  <si>
    <t>Actinomycin D</t>
  </si>
  <si>
    <t>Saint Vincent And The Grenadines</t>
  </si>
  <si>
    <t>AF-2;[2-(2-furyl)-3-(5-nitro-2-furyl)]acrylamide</t>
  </si>
  <si>
    <t>Cocos (Keeling) Islands</t>
  </si>
  <si>
    <t>Aflatoxins</t>
  </si>
  <si>
    <t>Botswana</t>
  </si>
  <si>
    <t>Alachlor</t>
  </si>
  <si>
    <t>Zambia</t>
  </si>
  <si>
    <t>Alcoholic beverages, when associated with alcohol abuse</t>
  </si>
  <si>
    <t>Trinidad And Tobago</t>
  </si>
  <si>
    <t>Aldrin</t>
  </si>
  <si>
    <t>US Virgin Islands</t>
  </si>
  <si>
    <t>All-trans retinoic acid</t>
  </si>
  <si>
    <t>Romania</t>
  </si>
  <si>
    <t>Aloe Vera, non-decolorized whole leaf extract</t>
  </si>
  <si>
    <t>Denmark</t>
  </si>
  <si>
    <t>Alprazolam</t>
  </si>
  <si>
    <t>Micronesia</t>
  </si>
  <si>
    <t>Altretamine</t>
  </si>
  <si>
    <t>Ethiopia</t>
  </si>
  <si>
    <t>Amantadine hydrochloride</t>
  </si>
  <si>
    <t>Iraq</t>
  </si>
  <si>
    <t>Amikacin sulfate</t>
  </si>
  <si>
    <t>Somalia</t>
  </si>
  <si>
    <t>Aminoglutethimide</t>
  </si>
  <si>
    <t>Marshall Islands</t>
  </si>
  <si>
    <t>Aminoglycosides</t>
  </si>
  <si>
    <t>Mozambique</t>
  </si>
  <si>
    <t>Aminopterin</t>
  </si>
  <si>
    <t>Chad</t>
  </si>
  <si>
    <t>Amiodarone hydrochloride</t>
  </si>
  <si>
    <t>Cape Verde</t>
  </si>
  <si>
    <t>Amitraz</t>
  </si>
  <si>
    <t>New Caledonia</t>
  </si>
  <si>
    <t>Amitrole</t>
  </si>
  <si>
    <t>Switzerland</t>
  </si>
  <si>
    <t>Amoxapine</t>
  </si>
  <si>
    <t>Kiribati</t>
  </si>
  <si>
    <t>Amsacrine</t>
  </si>
  <si>
    <t>Moldova</t>
  </si>
  <si>
    <t>Anabolic steroids</t>
  </si>
  <si>
    <t>Bulgaria</t>
  </si>
  <si>
    <t>Analgesic mixtures containing Phenacetin</t>
  </si>
  <si>
    <t>Bhutan</t>
  </si>
  <si>
    <t>Androstenedione</t>
  </si>
  <si>
    <t>Montserrat</t>
  </si>
  <si>
    <t>Angiotensin converting enzyme (ACE) inhibitors</t>
  </si>
  <si>
    <t>Cyprus</t>
  </si>
  <si>
    <t>Aniline</t>
  </si>
  <si>
    <t>Lebanon</t>
  </si>
  <si>
    <t>Aniline hydrochloride</t>
  </si>
  <si>
    <t>Bahamas</t>
  </si>
  <si>
    <t>Anisindione</t>
  </si>
  <si>
    <t>Norfolk Island</t>
  </si>
  <si>
    <t>Anthraquinone</t>
  </si>
  <si>
    <t>Fiji</t>
  </si>
  <si>
    <t>Antimony oxide (Antimony trioxide)</t>
  </si>
  <si>
    <t>Brunei</t>
  </si>
  <si>
    <t>Aramite</t>
  </si>
  <si>
    <t>Faroe Islands</t>
  </si>
  <si>
    <t>Areca nut</t>
  </si>
  <si>
    <t>Norway</t>
  </si>
  <si>
    <t>Aristolochic acids</t>
  </si>
  <si>
    <t>XC</t>
  </si>
  <si>
    <t>Arsenic (inorganic arsenic compounds)</t>
  </si>
  <si>
    <t>Solomon Islands</t>
  </si>
  <si>
    <t>Arsenic (inorganic oxides)</t>
  </si>
  <si>
    <t>Aruba</t>
  </si>
  <si>
    <t>Asbestos</t>
  </si>
  <si>
    <t>Sudan</t>
  </si>
  <si>
    <t>Aspirin</t>
  </si>
  <si>
    <t>XN</t>
  </si>
  <si>
    <t>Atenolol</t>
  </si>
  <si>
    <t>Albania</t>
  </si>
  <si>
    <t>Atrazine</t>
  </si>
  <si>
    <t>Sierra Leone</t>
  </si>
  <si>
    <t>Auramine</t>
  </si>
  <si>
    <t>Isle of Man</t>
  </si>
  <si>
    <t>Auranofin</t>
  </si>
  <si>
    <t>Russia</t>
  </si>
  <si>
    <t>Avermectin B1 (Abamectin)</t>
  </si>
  <si>
    <t>Canary Islands</t>
  </si>
  <si>
    <t>Azacitidine</t>
  </si>
  <si>
    <t>Cayman Islands</t>
  </si>
  <si>
    <t>Azaserine</t>
  </si>
  <si>
    <t>United Arab Emirates</t>
  </si>
  <si>
    <t>Azathioprine</t>
  </si>
  <si>
    <t>Iran</t>
  </si>
  <si>
    <t>Azobenzene</t>
  </si>
  <si>
    <t>Qatar</t>
  </si>
  <si>
    <t>Barbiturates</t>
  </si>
  <si>
    <t>Hong Kong</t>
  </si>
  <si>
    <t>Beclomethasone dipropionate</t>
  </si>
  <si>
    <t>Christmas Island</t>
  </si>
  <si>
    <t>Benomyl</t>
  </si>
  <si>
    <t>Bosnia and Herzegovina</t>
  </si>
  <si>
    <t>Benthiavalicarb-isopropyl</t>
  </si>
  <si>
    <t>Turkmenistan</t>
  </si>
  <si>
    <t>Benz[a]anthracene</t>
  </si>
  <si>
    <t>Colombia</t>
  </si>
  <si>
    <t>Benzene</t>
  </si>
  <si>
    <t>Algeria</t>
  </si>
  <si>
    <t>Benzidine [and its salts]</t>
  </si>
  <si>
    <t>Turkey</t>
  </si>
  <si>
    <t>Benzidine-based dyes</t>
  </si>
  <si>
    <t>Mexico</t>
  </si>
  <si>
    <t>Benzo[a]pyrene</t>
  </si>
  <si>
    <t>Gibraltar</t>
  </si>
  <si>
    <t>Benzo[b]fluoranthene</t>
  </si>
  <si>
    <t>Palestinian Territory</t>
  </si>
  <si>
    <t>Benzo[j]fluoranthene</t>
  </si>
  <si>
    <t>Bahrain</t>
  </si>
  <si>
    <t>Benzo[k]fluoranthene</t>
  </si>
  <si>
    <t>Yemen</t>
  </si>
  <si>
    <t>Benzodiazepines</t>
  </si>
  <si>
    <t>Maldives</t>
  </si>
  <si>
    <t>Benzofuran</t>
  </si>
  <si>
    <t>Tonga</t>
  </si>
  <si>
    <t>Benzophenone</t>
  </si>
  <si>
    <t>Sao Tome And Principe</t>
  </si>
  <si>
    <t>Benzotrichloride</t>
  </si>
  <si>
    <t>Togo</t>
  </si>
  <si>
    <t>Benzphetamine hydrochloride</t>
  </si>
  <si>
    <t>Saudi Arabia</t>
  </si>
  <si>
    <t>Benzyl chloride</t>
  </si>
  <si>
    <t>Japan</t>
  </si>
  <si>
    <t>Benzyl violet 4B</t>
  </si>
  <si>
    <t>Nauru</t>
  </si>
  <si>
    <t>Beryllium</t>
  </si>
  <si>
    <t>Spain</t>
  </si>
  <si>
    <t>Beryllium and beryllium compounds</t>
  </si>
  <si>
    <t>Bangladesh</t>
  </si>
  <si>
    <t>Beryllium oxide</t>
  </si>
  <si>
    <t>Benin</t>
  </si>
  <si>
    <t>Beryllium sulfate</t>
  </si>
  <si>
    <t>Jordan</t>
  </si>
  <si>
    <t>beta-Butyrolactone</t>
  </si>
  <si>
    <t>Serbia and Montenegro</t>
  </si>
  <si>
    <t>beta-Myrcene</t>
  </si>
  <si>
    <t>Dominican Republic</t>
  </si>
  <si>
    <t>beta-Propiolactone</t>
  </si>
  <si>
    <t>Kazakhstan</t>
  </si>
  <si>
    <t>Betel quid with tobacco</t>
  </si>
  <si>
    <t>Zaire</t>
  </si>
  <si>
    <t>Betel quid without tobacco</t>
  </si>
  <si>
    <t>Thailand</t>
  </si>
  <si>
    <t>Bis(2-chloro-1-methylethyl)ether, technical grade</t>
  </si>
  <si>
    <t>French Southern Territories</t>
  </si>
  <si>
    <t>Bis(2-chloroethyl)ether</t>
  </si>
  <si>
    <t>Suriname</t>
  </si>
  <si>
    <t>Bis(chloromethyl)ether</t>
  </si>
  <si>
    <t>British Virgin Islands</t>
  </si>
  <si>
    <t>Bischloroethyl nitrosourea (BCNU) (Carmustine)</t>
  </si>
  <si>
    <t>Zimbabwe</t>
  </si>
  <si>
    <t>Bisphenol A (BPA)</t>
  </si>
  <si>
    <t>Gambia</t>
  </si>
  <si>
    <t>Bitumens, extracts of steam-refined and air refined</t>
  </si>
  <si>
    <t>Georgia</t>
  </si>
  <si>
    <t>Bracken fern</t>
  </si>
  <si>
    <t>Holy See (Vatican City)</t>
  </si>
  <si>
    <t>Bromacil lithium salt</t>
  </si>
  <si>
    <t>Belgium</t>
  </si>
  <si>
    <t>Bromate</t>
  </si>
  <si>
    <t>Mayotte</t>
  </si>
  <si>
    <t>Bromochloroacetic acid</t>
  </si>
  <si>
    <t>Oman</t>
  </si>
  <si>
    <t>Bromodichloroacetic acid</t>
  </si>
  <si>
    <t>Sri Lanka</t>
  </si>
  <si>
    <t>Bromodichloromethane</t>
  </si>
  <si>
    <t>US Minor Outlying Islands</t>
  </si>
  <si>
    <t>Bromoethane</t>
  </si>
  <si>
    <t>Croatia</t>
  </si>
  <si>
    <t>Bromoform</t>
  </si>
  <si>
    <t>XB</t>
  </si>
  <si>
    <t>Bromoxynil</t>
  </si>
  <si>
    <t>Azerbaijan</t>
  </si>
  <si>
    <t>Bromoxynil octanoate</t>
  </si>
  <si>
    <t>Libya</t>
  </si>
  <si>
    <t>Butabarbital sodium</t>
  </si>
  <si>
    <t>S. Georgia and S. Sandwich Isls.</t>
  </si>
  <si>
    <t>Butylated hydroxyanisole</t>
  </si>
  <si>
    <t>Hungary</t>
  </si>
  <si>
    <t>C.I. Acid Red 114</t>
  </si>
  <si>
    <t>Papua New Guinea</t>
  </si>
  <si>
    <t>C.I. Basic Red 9 monohydrochloride</t>
  </si>
  <si>
    <t>Malawi</t>
  </si>
  <si>
    <t>C.I. Direct Blue 15</t>
  </si>
  <si>
    <t>Chile</t>
  </si>
  <si>
    <t>C.I. Direct Blue 218</t>
  </si>
  <si>
    <t>France</t>
  </si>
  <si>
    <t>C.I. Disperse Yellow 3</t>
  </si>
  <si>
    <t>Malta</t>
  </si>
  <si>
    <t>C.I. Solvent Yellow 14</t>
  </si>
  <si>
    <t>Greenland</t>
  </si>
  <si>
    <t>Cacodylic acid</t>
  </si>
  <si>
    <t>Nicaragua</t>
  </si>
  <si>
    <t>Cadmium</t>
  </si>
  <si>
    <t>Niger</t>
  </si>
  <si>
    <t>Cadmium and cadmium compounds</t>
  </si>
  <si>
    <t>Paraguay</t>
  </si>
  <si>
    <t>Caffeic acid</t>
  </si>
  <si>
    <t>WZ</t>
  </si>
  <si>
    <t>Captafol</t>
  </si>
  <si>
    <t>Saint-Martin</t>
  </si>
  <si>
    <t>Captan</t>
  </si>
  <si>
    <t>Philippines</t>
  </si>
  <si>
    <t>Carbamazepine</t>
  </si>
  <si>
    <t>Austria</t>
  </si>
  <si>
    <t>Carbaryl</t>
  </si>
  <si>
    <t>Australia</t>
  </si>
  <si>
    <t>Carbazole</t>
  </si>
  <si>
    <t>Seychelles</t>
  </si>
  <si>
    <t>Carbon black (airborne, unbound particles of respirable size)</t>
  </si>
  <si>
    <t>Rwanda</t>
  </si>
  <si>
    <t>Carbon disulfide</t>
  </si>
  <si>
    <t>Latvia</t>
  </si>
  <si>
    <t>Carbon monoxide</t>
  </si>
  <si>
    <t>Timor-Leste</t>
  </si>
  <si>
    <t>Carbon tetrachloride</t>
  </si>
  <si>
    <t>Sweden</t>
  </si>
  <si>
    <t>Carbon-black extracts</t>
  </si>
  <si>
    <t>Slovenia</t>
  </si>
  <si>
    <t>Carboplatin</t>
  </si>
  <si>
    <t>Ukraine</t>
  </si>
  <si>
    <t>Catechol</t>
  </si>
  <si>
    <t>Syria</t>
  </si>
  <si>
    <t>Ceramic fibers (airborne particles of respirable size)</t>
  </si>
  <si>
    <t>Tokelau</t>
  </si>
  <si>
    <t>Certain combined chemotherapy for lymphomas</t>
  </si>
  <si>
    <t>Luxembourg</t>
  </si>
  <si>
    <t>Chenodiol</t>
  </si>
  <si>
    <t>WD</t>
  </si>
  <si>
    <t>Chloral</t>
  </si>
  <si>
    <t>Madagascar</t>
  </si>
  <si>
    <t>Chloral hydrate</t>
  </si>
  <si>
    <t>India</t>
  </si>
  <si>
    <t>Chlorambucil</t>
  </si>
  <si>
    <t>Guernsey</t>
  </si>
  <si>
    <t>Chloramphenicol sodium succinate</t>
  </si>
  <si>
    <t>Antigua And Barbuda</t>
  </si>
  <si>
    <t>Chlorcyclizine hydrochloride</t>
  </si>
  <si>
    <t>San Marino</t>
  </si>
  <si>
    <t>Chlordane</t>
  </si>
  <si>
    <t>South Africa</t>
  </si>
  <si>
    <t>Chlordecone (Kepone)</t>
  </si>
  <si>
    <t>Nigeria</t>
  </si>
  <si>
    <t>Chlordiazepoxide</t>
  </si>
  <si>
    <t>Macau</t>
  </si>
  <si>
    <t>Chlordiazepoxide hydrochloride</t>
  </si>
  <si>
    <t>Portugal</t>
  </si>
  <si>
    <t>Chlordimeform</t>
  </si>
  <si>
    <t>Great Britain</t>
  </si>
  <si>
    <t>Chlorendic acid</t>
  </si>
  <si>
    <t>Singapore</t>
  </si>
  <si>
    <t>Chlorinated paraffins (Average chain length, C12;approximately 60 percent chlorin</t>
  </si>
  <si>
    <t>Anguilla</t>
  </si>
  <si>
    <t>Chloroethane (Ethyl chloride)</t>
  </si>
  <si>
    <t>Peru</t>
  </si>
  <si>
    <t>Chloroform</t>
  </si>
  <si>
    <t>Guam</t>
  </si>
  <si>
    <t>Chloromethyl methyl ether (technical grade)</t>
  </si>
  <si>
    <t>Czech Republic</t>
  </si>
  <si>
    <t>Chloroprene</t>
  </si>
  <si>
    <t>Estonia</t>
  </si>
  <si>
    <t>Chlorothalonil</t>
  </si>
  <si>
    <t>Dominica</t>
  </si>
  <si>
    <t>Chlorotrianisene</t>
  </si>
  <si>
    <t>Mauritania</t>
  </si>
  <si>
    <t>Chlorozotocin</t>
  </si>
  <si>
    <t>Uganda</t>
  </si>
  <si>
    <t>Chlorpyrifos</t>
  </si>
  <si>
    <t>XM</t>
  </si>
  <si>
    <t>Chromium (hexavalent compounds)</t>
  </si>
  <si>
    <t>Panama</t>
  </si>
  <si>
    <t>Chrysene</t>
  </si>
  <si>
    <t>Belarus</t>
  </si>
  <si>
    <t>Ciclosporin (Cyclosporin A; Cyclosporine)</t>
  </si>
  <si>
    <t>Argentina</t>
  </si>
  <si>
    <t>Cidofovir</t>
  </si>
  <si>
    <t>Namibia</t>
  </si>
  <si>
    <t>Cinnamyl anthranilate</t>
  </si>
  <si>
    <t>Germany</t>
  </si>
  <si>
    <t>Cisplatin</t>
  </si>
  <si>
    <t>Swaziland</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</si>
  <si>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</si>
  <si>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</si>
  <si>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</si>
  <si>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</si>
  <si>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</si>
  <si>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</si>
  <si>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</si>
  <si>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</si>
  <si>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</si>
  <si>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</si>
  <si>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</si>
  <si>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</si>
  <si>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</si>
  <si>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</si>
  <si>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</si>
  <si>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</si>
  <si>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</si>
  <si>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</si>
  <si>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</si>
  <si>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</si>
  <si>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</si>
  <si>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</si>
  <si>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</si>
  <si>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</si>
  <si>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</si>
  <si>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</si>
  <si>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</si>
  <si>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</si>
  <si>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</si>
  <si>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</si>
  <si>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</si>
  <si>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</si>
  <si>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</si>
  <si>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</si>
  <si>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</si>
  <si>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</si>
  <si>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</si>
  <si>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</si>
  <si>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</si>
  <si>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</si>
  <si>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</si>
  <si>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</si>
  <si>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</si>
  <si>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</si>
  <si>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</si>
  <si>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</si>
  <si>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</si>
  <si>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</si>
  <si>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</si>
  <si>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</si>
  <si>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</si>
  <si>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</si>
  <si>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</si>
  <si>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</si>
  <si>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</si>
  <si>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</si>
  <si>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</si>
  <si>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</si>
  <si>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</si>
  <si>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</si>
  <si>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</si>
  <si>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</si>
  <si>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</si>
  <si>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</si>
  <si>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</si>
  <si>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</si>
  <si>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</si>
  <si>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</si>
  <si>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</si>
  <si>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</si>
  <si>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</si>
  <si>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</si>
  <si>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</si>
  <si>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</si>
  <si>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</si>
  <si>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</si>
  <si>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</si>
  <si>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</si>
  <si>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</si>
  <si>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</si>
  <si>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</si>
  <si>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</si>
  <si>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</si>
  <si>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</si>
  <si>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</si>
  <si>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</si>
  <si>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</si>
  <si>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</si>
  <si>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</si>
  <si>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</si>
  <si>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</si>
  <si>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</si>
  <si>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</si>
  <si>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</si>
  <si>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</si>
  <si>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</si>
  <si>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</si>
  <si>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</si>
  <si>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</si>
  <si>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</si>
  <si>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</si>
  <si>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</si>
  <si>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</si>
  <si>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</si>
  <si>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</si>
  <si>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</si>
  <si>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</si>
  <si>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</si>
  <si>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</si>
  <si>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</si>
  <si>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</si>
  <si>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</si>
  <si>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</si>
  <si>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</si>
  <si>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</si>
  <si>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</si>
  <si>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</si>
  <si>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</si>
  <si>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</si>
  <si>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</si>
  <si>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</si>
  <si>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</si>
  <si>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</si>
  <si>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</si>
  <si>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</si>
  <si>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</si>
  <si>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</si>
  <si>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</si>
  <si>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</si>
  <si>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</si>
  <si>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</si>
  <si>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</si>
  <si>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</si>
  <si>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</si>
  <si>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</si>
  <si>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</si>
  <si>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</si>
  <si>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</si>
  <si>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</si>
  <si>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</si>
  <si>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</si>
  <si>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</si>
  <si>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</si>
  <si>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</si>
  <si>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</si>
  <si>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</si>
  <si>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</si>
  <si>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</si>
  <si>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</si>
  <si>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</si>
  <si>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</si>
  <si>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</si>
  <si>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</si>
  <si>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</si>
  <si>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</si>
  <si>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</si>
  <si>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</si>
  <si>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</si>
  <si>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</si>
  <si>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</si>
  <si>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</si>
  <si>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</si>
  <si>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</si>
  <si>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</si>
  <si>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</si>
  <si>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</si>
  <si>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</si>
  <si>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</si>
  <si>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</si>
  <si>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</si>
  <si>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</si>
  <si>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</si>
  <si>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</si>
  <si>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</si>
  <si>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</si>
  <si>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</si>
  <si>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</si>
  <si>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</si>
  <si>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</si>
  <si>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</si>
  <si>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</si>
  <si>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</si>
  <si>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</si>
  <si>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</si>
  <si>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</si>
  <si>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</si>
  <si>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</si>
  <si>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</si>
  <si>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</si>
  <si>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</si>
  <si>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</si>
  <si>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</si>
  <si>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</si>
  <si>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</si>
  <si>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</si>
  <si>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</si>
  <si>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</si>
  <si>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</si>
  <si>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</si>
  <si>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</si>
  <si>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</si>
  <si>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</si>
  <si>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</si>
  <si>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</si>
  <si>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</si>
  <si>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</si>
  <si>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</si>
  <si>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</si>
  <si>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</si>
  <si>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</si>
  <si>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</si>
  <si>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</si>
  <si>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</si>
  <si>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</si>
  <si>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</si>
  <si>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</si>
  <si>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</si>
  <si>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</si>
  <si>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</si>
  <si>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</si>
  <si>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</si>
  <si>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</si>
  <si>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</si>
  <si>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</si>
  <si>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</si>
  <si>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</si>
  <si>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</si>
  <si>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</si>
  <si>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</si>
  <si>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</si>
  <si>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</si>
  <si>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</si>
  <si>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</si>
  <si>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</si>
  <si>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</si>
  <si>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</si>
  <si>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</si>
  <si>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</si>
  <si>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</si>
  <si>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</si>
  <si>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</si>
  <si>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</si>
  <si>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</si>
  <si>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</si>
  <si>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</si>
  <si>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</si>
  <si>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</si>
  <si>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</si>
  <si>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</si>
  <si>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</si>
  <si>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</si>
  <si>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</si>
  <si>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</si>
  <si>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</si>
  <si>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</si>
  <si>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</si>
  <si>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</si>
  <si>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</si>
  <si>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</si>
  <si>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</si>
  <si>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</si>
  <si>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</si>
  <si>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</si>
  <si>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</si>
  <si>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</si>
  <si>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</si>
  <si>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</si>
  <si>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</si>
  <si>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</si>
  <si>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</si>
  <si>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</si>
  <si>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</si>
  <si>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</si>
  <si>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</si>
  <si>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</si>
  <si>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</si>
  <si>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</si>
  <si>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</si>
  <si>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</si>
  <si>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</si>
  <si>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</si>
  <si>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</si>
  <si>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</si>
  <si>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</si>
  <si>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</si>
  <si>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</si>
  <si>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</si>
  <si>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</si>
  <si>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</si>
  <si>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</si>
  <si>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</si>
  <si>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</si>
  <si>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</si>
  <si>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</si>
  <si>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</si>
  <si>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</si>
  <si>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</si>
  <si>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</si>
  <si>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</si>
  <si>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</si>
  <si>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</si>
  <si>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</si>
  <si>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</si>
  <si>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</si>
  <si>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</si>
  <si>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</si>
  <si>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</si>
  <si>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</si>
  <si>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</si>
  <si>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</si>
  <si>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</si>
  <si>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</si>
  <si>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</si>
  <si>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</si>
  <si>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</si>
  <si>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</si>
  <si>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</si>
  <si>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</si>
  <si>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</si>
  <si>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</si>
  <si>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</si>
  <si>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</si>
  <si>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</si>
  <si>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</si>
  <si>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</si>
  <si>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</si>
  <si>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</si>
  <si>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</si>
  <si>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</si>
  <si>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</si>
  <si>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</si>
  <si>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</si>
  <si>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</si>
  <si>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</si>
  <si>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</si>
  <si>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</si>
  <si>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</si>
  <si>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</si>
  <si>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</si>
  <si>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</si>
  <si>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</si>
  <si>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</si>
  <si>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</si>
  <si>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</si>
  <si>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</si>
  <si>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</si>
  <si>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</si>
  <si>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</si>
  <si>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</si>
  <si>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</si>
  <si>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</si>
  <si>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</si>
  <si>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</si>
  <si>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</si>
  <si>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</si>
  <si>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</si>
  <si>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</si>
  <si>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</si>
  <si>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</si>
  <si>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</si>
  <si>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</si>
  <si>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</si>
  <si>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</si>
  <si>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</si>
  <si>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</si>
  <si>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</si>
  <si>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</si>
  <si>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</si>
  <si>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</si>
  <si>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</si>
  <si>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</si>
  <si>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</si>
  <si>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</si>
  <si>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</si>
  <si>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</si>
  <si>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</si>
  <si>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</si>
  <si>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</si>
  <si>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</si>
  <si>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</si>
  <si>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</si>
  <si>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</si>
  <si>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</si>
  <si>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</si>
  <si>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</si>
  <si>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</si>
  <si>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</si>
  <si>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</si>
  <si>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</si>
  <si>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</si>
  <si>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</si>
  <si>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</si>
  <si>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</si>
  <si>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</si>
  <si>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</si>
  <si>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</si>
  <si>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</si>
  <si>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</si>
  <si>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</si>
  <si>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</si>
  <si>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</si>
  <si>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</si>
  <si>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</si>
  <si>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</si>
  <si>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</si>
  <si>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</si>
  <si>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</si>
  <si>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</si>
  <si>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</si>
  <si>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</si>
  <si>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</si>
  <si>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</si>
  <si>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</si>
  <si>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</si>
  <si>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</si>
  <si>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</si>
  <si>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</si>
  <si>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</si>
  <si>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</si>
  <si>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</si>
  <si>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</si>
  <si>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</si>
  <si>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</si>
  <si>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</si>
  <si>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</si>
  <si>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</si>
  <si>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</si>
  <si>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</si>
  <si>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</si>
  <si>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</si>
  <si>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</si>
  <si>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</si>
  <si>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</si>
  <si>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</si>
  <si>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</si>
  <si>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</si>
  <si>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</si>
  <si>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</si>
  <si>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</si>
  <si>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</si>
  <si>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</si>
  <si>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</si>
  <si>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</si>
  <si>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</si>
  <si>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</si>
  <si>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</si>
  <si>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</si>
  <si>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</si>
  <si>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</si>
  <si>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</si>
  <si>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</si>
  <si>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</si>
  <si>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</si>
  <si>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</si>
  <si>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</si>
  <si>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</si>
  <si>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</si>
  <si>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</si>
  <si>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</si>
  <si>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</si>
  <si>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</si>
  <si>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</si>
  <si>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</si>
  <si>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</si>
  <si>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</si>
  <si>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</si>
  <si>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</si>
  <si>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</si>
  <si>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</si>
  <si>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</si>
  <si>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</si>
  <si>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</si>
  <si>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</si>
  <si>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</si>
  <si>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</si>
  <si>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</si>
  <si>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</si>
  <si>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</si>
  <si>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</si>
  <si>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</si>
  <si>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</si>
  <si>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</si>
  <si>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</si>
  <si>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</si>
  <si>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</si>
  <si>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</si>
  <si>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</si>
  <si>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</si>
  <si>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</si>
  <si>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</si>
  <si>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</si>
  <si>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</si>
  <si>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</si>
  <si>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</si>
  <si>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</si>
  <si>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</si>
  <si>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</si>
  <si>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</si>
  <si>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</si>
  <si>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</si>
  <si>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</si>
  <si>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</si>
  <si>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</si>
  <si>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</si>
  <si>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</si>
  <si>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</si>
  <si>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</si>
  <si>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</si>
  <si>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</si>
  <si>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</si>
  <si>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</si>
  <si>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</si>
  <si>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</si>
  <si>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</si>
  <si>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</si>
  <si>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</si>
  <si>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</si>
  <si>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</si>
  <si>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</si>
  <si>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</si>
  <si>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</si>
  <si>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</si>
  <si>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</si>
  <si>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</si>
  <si>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</si>
  <si>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</si>
  <si>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</si>
  <si>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</si>
  <si>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</si>
  <si>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</si>
  <si>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</si>
  <si>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</si>
  <si>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</si>
  <si>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</si>
  <si>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</si>
  <si>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</si>
  <si>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</si>
  <si>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</si>
  <si>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</si>
  <si>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</si>
  <si>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</si>
  <si>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</si>
  <si>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</si>
  <si>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</si>
  <si>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</si>
  <si>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</si>
  <si>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</si>
  <si>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</si>
  <si>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</si>
  <si>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</si>
  <si>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</si>
  <si>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</si>
  <si>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</si>
  <si>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</si>
  <si>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</si>
  <si>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</si>
  <si>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</si>
  <si>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</si>
  <si>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</si>
  <si>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</si>
  <si>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</si>
  <si>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</si>
  <si>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</si>
  <si>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</si>
  <si>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</si>
  <si>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</si>
  <si>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</si>
  <si>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</si>
  <si>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</si>
  <si>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</si>
  <si>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</si>
  <si>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</si>
  <si>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</si>
  <si>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</si>
  <si>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</si>
  <si>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</si>
  <si>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</si>
  <si>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</si>
  <si>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</si>
  <si>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</si>
  <si>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</si>
  <si>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</si>
  <si>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</si>
  <si>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</si>
  <si>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</si>
  <si>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</si>
  <si>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</si>
  <si>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</si>
  <si>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</si>
  <si>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</si>
  <si>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</si>
  <si>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</si>
  <si>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</si>
  <si>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</si>
  <si>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</si>
  <si>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</si>
  <si>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</si>
  <si>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</si>
  <si>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</si>
  <si>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</si>
  <si>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</si>
  <si>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supplier_declared_dg_hz_regulation5</t>
  </si>
  <si>
    <t>battery_type2</t>
  </si>
  <si>
    <t>battery_type3</t>
  </si>
  <si>
    <t>ghs_classification_class2</t>
  </si>
  <si>
    <t>ghs_classification_class3</t>
  </si>
  <si>
    <t>number_of_batteries3</t>
  </si>
  <si>
    <t>supplier_declared_dg_hz_regulation3</t>
  </si>
  <si>
    <t>supplier_declared_dg_hz_regulation4</t>
  </si>
  <si>
    <t>number_of_batteries1</t>
  </si>
  <si>
    <t>supplier_declared_dg_hz_regulation2</t>
  </si>
  <si>
    <t>number_of_batteries2</t>
  </si>
  <si>
    <t>special_features5</t>
  </si>
  <si>
    <t>seasons4</t>
  </si>
  <si>
    <t>pesticide_marking_certification_number1</t>
  </si>
  <si>
    <t>bullet_point5</t>
  </si>
  <si>
    <t>other_image_url3</t>
  </si>
  <si>
    <t>other_image_url2</t>
  </si>
  <si>
    <t>quantity_lower_bound4</t>
  </si>
  <si>
    <t>bullet_point1</t>
  </si>
  <si>
    <t>quantity_price5</t>
  </si>
  <si>
    <t>special_features2</t>
  </si>
  <si>
    <t>quantity_price2</t>
  </si>
  <si>
    <t>progressive_discount_value3</t>
  </si>
  <si>
    <t>pesticide_marking_certification_number3</t>
  </si>
  <si>
    <t>quantity_lower_bound5</t>
  </si>
  <si>
    <t>progressive_discount_lower_bound2</t>
  </si>
  <si>
    <t>supplier_declared_material_regulation2</t>
  </si>
  <si>
    <t>pesticide_marking_type2</t>
  </si>
  <si>
    <t>bullet_point2</t>
  </si>
  <si>
    <t>pesticide_marking_registration_status2</t>
  </si>
  <si>
    <t>progressive_discount_value2</t>
  </si>
  <si>
    <t>california_proposition_65_chemical_names3</t>
  </si>
  <si>
    <t>other_image_url4</t>
  </si>
  <si>
    <t>special_features3</t>
  </si>
  <si>
    <t>quantity_price4</t>
  </si>
  <si>
    <t>bullet_point3</t>
  </si>
  <si>
    <t>seasons3</t>
  </si>
  <si>
    <t>supplier_declared_material_regulation3</t>
  </si>
  <si>
    <t>pesticide_marking_registration_status3</t>
  </si>
  <si>
    <t>other_image_url8</t>
  </si>
  <si>
    <t>quantity_price3</t>
  </si>
  <si>
    <t>pesticide_marking_type3</t>
  </si>
  <si>
    <t>california_proposition_65_chemical_names2</t>
  </si>
  <si>
    <t>pesticide_marking_certification_number2</t>
  </si>
  <si>
    <t>other_image_url5</t>
  </si>
  <si>
    <t>quantity_lower_bound3</t>
  </si>
  <si>
    <t>special_features4</t>
  </si>
  <si>
    <t>progressive_discount_lower_bound3</t>
  </si>
  <si>
    <t>bullet_point4</t>
  </si>
  <si>
    <t>seasons2</t>
  </si>
  <si>
    <t>other_image_url6</t>
  </si>
  <si>
    <t>other_image_url7</t>
  </si>
  <si>
    <t>quantity_lower_bound2</t>
  </si>
  <si>
    <t>california_proposition_65_chemical_names4</t>
  </si>
  <si>
    <t>Images</t>
  </si>
  <si>
    <t>Other Image URL2</t>
  </si>
  <si>
    <t>Other Image URL3</t>
  </si>
  <si>
    <t>Other Image URL4</t>
  </si>
  <si>
    <t>Other Image URL5</t>
  </si>
  <si>
    <t>Other Image URL6</t>
  </si>
  <si>
    <t>Other Image URL7</t>
  </si>
  <si>
    <t>Other Image URL8</t>
  </si>
  <si>
    <t>Basic</t>
  </si>
  <si>
    <t>Discovery</t>
  </si>
  <si>
    <t>Dimensions</t>
  </si>
  <si>
    <t>Fulfillment</t>
  </si>
  <si>
    <t>Compliance</t>
  </si>
  <si>
    <t>Additional Chemical Name1</t>
  </si>
  <si>
    <t>Additional Chemical Name2</t>
  </si>
  <si>
    <t>Additional Chemical Name3</t>
  </si>
  <si>
    <t>Additional Chemical Name4</t>
  </si>
  <si>
    <t>Offer</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</si>
  <si>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</si>
  <si>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</si>
  <si>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</si>
  <si>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</si>
  <si>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</si>
  <si>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</si>
  <si>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</si>
  <si>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</si>
  <si>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</si>
  <si>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</si>
  <si>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</si>
  <si>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</si>
  <si>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</si>
  <si>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</si>
  <si>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Version=2021.0625</t>
  </si>
  <si>
    <t>TemplateSignature=QkxBTktFVA==</t>
  </si>
  <si>
    <t>settings=contentLanguageTag=en_US&amp;feedType=610841&amp;headerLanguageTag=en_US&amp;primaryMarketplaceId=amzn1.mp.o.ATVPDKIKX0DER&amp;templateIdentifier=deb3fee2-b6dd-4966-bd7a-3a4e12015d5a&amp;timestamp=2021-06-25T04%3A40%3A02.301Z</t>
  </si>
  <si>
    <t>Use ENGLISH to fill this template.The top 3 rows are for Amazon.com use only. Do not modify or delete the top 3 rows.</t>
  </si>
  <si>
    <t>CONDITION_LIST_0</t>
  </si>
  <si>
    <t>CONDITION_LIST_1</t>
  </si>
  <si>
    <t>CONDITION_LIST_2</t>
  </si>
  <si>
    <t>CONDITION_LIST_3</t>
  </si>
  <si>
    <t>Generic</t>
  </si>
  <si>
    <t>"【Super Warm &amp; Soft】
This Fleece Blanket is custom-made-to-order and handcrafted to the highest quality standards, which is super warm and soft, durable and lightweight.
【Multi Size】
Available in many sizes: 30x40 in, 50x60 in, 60x80 in
【Multipupose Function】
Snuggling on your couch and bed with bedsure plush and warm Fleece Blankets to enjoy your family happy hours while watching favorite TV shows.
Perfect for indoor and outdoor use to provide consecutive warmth in chilly weather, especially for camping and picnic.
【Easy Care】
Machine wash cold, tumble dry on low heat. Avoid direct heat. Do not use bleach.
【Best Gift】
My Fleece Blanket is a great choice for Birthday, Housewarming, Valentine's Day, Christmas, Halloween, Thanksgiving, etc.
"</t>
  </si>
  <si>
    <t>【Super Warm &amp; Soft】
This Fleece Blanket is custom-made-to-order and handcrafted to the highest quality standards, which is super warm and soft, durable and lightweight.</t>
  </si>
  <si>
    <t>【Multi Size】
Available in many sizes: 30x40 in, 50x60 in, 60x80 in</t>
  </si>
  <si>
    <t>【Multipupose Function】
Snuggling on your couch and bed with bedsure plush and warm Fleece Blankets to enjoy your family happy hours while watching favorite TV shows.
Perfect for indoor and outdoor use to provide consecutive warmth in chilly weather, especially for camping and picnic.</t>
  </si>
  <si>
    <t>【Easy Care】
Machine wash cold, tumble dry on low heat. Avoid direct heat. Do not use bleach.</t>
  </si>
  <si>
    <t>【Best Gift】
My Fleece Blanket is a great choice for Birthday, Housewarming, Valentine's Day, Christmas, Halloween, Thanksgiving, etc.</t>
  </si>
  <si>
    <t>30x40in</t>
  </si>
  <si>
    <t>50x60in</t>
  </si>
  <si>
    <t>60x80in</t>
  </si>
  <si>
    <t>SKU-26069-10796</t>
  </si>
  <si>
    <t>SKU-26069-10797</t>
  </si>
  <si>
    <t>SKU-26069-10798</t>
  </si>
  <si>
    <t>SKU-26069-10799</t>
  </si>
  <si>
    <t>German Shepherd Blanket - Gift For Dog Lover, Christmas Gifts - Custom Fleece Blanket</t>
  </si>
  <si>
    <t>http://plus.cleverbee.me/Images/Design%20LTR1812%20-%20German%20Shepherd%20-%20German%20Shepherd%201812%20-%20-%20Christmas,%20Christmas%20gifts,%20Merry%20Christmas,%20Holiday%20Gifts,%20Gift%203D%20Quilt%20Blanket%20(5).jpg</t>
  </si>
  <si>
    <t>http://plus.cleverbee.me/Images/Design%20LTR1812%20-%20German%20Shepherd%20-%20German%20Shepherd%201812%20-%20-%20Christmas,%20Christmas%20gifts,%20Merry%20Christmas,%20Holiday%20Gifts,%20Gift%203D%20Quilt%20Blanket%20(4).jpg</t>
  </si>
  <si>
    <t>http://plus.cleverbee.me/Images/Design%20LTR1812%20-%20German%20Shepherd%20-%20German%20Shepherd%201812%20-%20-%20Christmas,%20Christmas%20gifts,%20Merry%20Christmas,%20Holiday%20Gifts,%20Gift%203D%20Quilt%20Blanket%20(3).jpg</t>
  </si>
  <si>
    <t>http://plus.cleverbee.me/Images/Design%20LTR1812%20-%20German%20Shepherd%20-%20German%20Shepherd%201812%20-%20-%20Christmas,%20Christmas%20gifts,%20Merry%20Christmas,%20Holiday%20Gifts,%20Gift%203D%20Quilt%20Blanket%20(2).jpg</t>
  </si>
  <si>
    <t>http://plus.cleverbee.me/Images/Design%20LTR1812%20-%20German%20Shepherd%20-%20German%20Shepherd%201812%20-%20-%20Christmas,%20Christmas%20gifts,%20Merry%20Christmas,%20Holiday%20Gifts,%20Gift%203D%20Quilt%20Blanket.jpg</t>
  </si>
  <si>
    <t>German Shepherd Blanket, Gift For Dog Lover, Christmas Gifts, Custom Fleece Blanket</t>
  </si>
  <si>
    <t>SKU-26069-10795</t>
  </si>
  <si>
    <t>SKU-26069-10792</t>
  </si>
  <si>
    <t>SKU-26069-10793</t>
  </si>
  <si>
    <t>SKU-26069-10794</t>
  </si>
  <si>
    <t>SKU-26069-10790</t>
  </si>
  <si>
    <t>SKU-26069-10787</t>
  </si>
  <si>
    <t>SKU-26069-10788</t>
  </si>
  <si>
    <t>SKU-26069-10789</t>
  </si>
  <si>
    <t>http://plus.cleverbee.me/Images/DesignMP2110MiniatureSchnauzerImABaby3DQuiltBlanket5.jpg</t>
  </si>
  <si>
    <t>http://plus.cleverbee.me/Images/DesignMP2110MiniatureSchnauzerImABaby3DQuiltBlanket4.jpg</t>
  </si>
  <si>
    <t>http://plus.cleverbee.me/Images/DesignMP2110MiniatureSchnauzerImABaby3DQuiltBlanket3.jpg</t>
  </si>
  <si>
    <t>http://plus.cleverbee.me/Images/DesignMP2110MiniatureSchnauzerImABaby3DQuiltBlanket2.jpg</t>
  </si>
  <si>
    <t>http://plus.cleverbee.me/Images/DesignMP2110MiniatureSchnauzerImABaby3DQuiltBlanket.jpg</t>
  </si>
  <si>
    <t>Miniature Schnauzer Blanket - Gift For Dog Lover - I'm A Baby Custom Fleece Blanket</t>
  </si>
  <si>
    <t>Miniature Schnauzer Blanket, Gift For Dog Lover, Custom Fleece Blanket</t>
  </si>
  <si>
    <t>http://plus.cleverbee.me/Images/DesignMP2610BostonTerrierCrazyBostonTerrierLady3DQuiltBlanket5.jpg</t>
  </si>
  <si>
    <t>http://plus.cleverbee.me/Images/DesignMP2610BostonTerrierCrazyBostonTerrierLady3DQuiltBlanket4.jpg</t>
  </si>
  <si>
    <t>http://plus.cleverbee.me/Images/DesignMP2610BostonTerrierCrazyBostonTerrierLady3DQuiltBlanket3.jpg</t>
  </si>
  <si>
    <t>http://plus.cleverbee.me/Images/DesignMP2610BostonTerrierCrazyBostonTerrierLady3DQuiltBlanket2.jpg</t>
  </si>
  <si>
    <t>http://plus.cleverbee.me/Images/DesignMP2610BostonTerrierCrazyBostonTerrierLady3DQuiltBlanket.jpg</t>
  </si>
  <si>
    <t>Boston Terrier Blanket, Gift For Dog Lover, Custom Fleece Blanket</t>
  </si>
  <si>
    <t>Boston Terrier Blanket - Gift For Dog Lover - Crazy Boston Terrier Lady Custom Fleece Blanket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</si>
</sst>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m\ d\,\ yyyy\ \-\ h:mm:ss\ AM/PM;@"/>
    <numFmt numFmtId="165" formatCode="mmmm\ d\,\ yyyy\ h:mmAM/PM"/>
  </numFmts>
  <fonts count="33"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rgb="FFFFFFFF"/>
      <name val="Calibri"/>
      <family val="2"/>
    </font>
    <font>
      <b/>
      <sz val="11"/>
      <color rgb="FF000000"/>
      <name val="Calibri"/>
      <family val="2"/>
    </font>
    <font>
      <sz val="11"/>
      <color rgb="FFFFFFFF"/>
      <name val="Calibri"/>
      <family val="2"/>
    </font>
    <font>
      <sz val="11"/>
      <color rgb="FF000000"/>
      <name val="Calibri"/>
      <family val="2"/>
    </font>
  </fonts>
  <fills count="14">
    <fill>
      <patternFill patternType="none"/>
    </fill>
    <fill>
      <patternFill patternType="gray125"/>
    </fill>
    <fill>
      <patternFill patternType="solid">
        <fgColor indexed="43"/>
        <bgColor indexed="64"/>
      </patternFill>
    </fill>
    <fill>
      <patternFill patternType="solid">
        <fgColor rgb="FF005B6C"/>
        <bgColor indexed="64"/>
      </patternFill>
    </fill>
    <fill>
      <patternFill patternType="solid">
        <fgColor rgb="FF008599"/>
        <bgColor indexed="64"/>
      </patternFill>
    </fill>
    <fill>
      <patternFill patternType="solid">
        <fgColor rgb="FF00B0B1"/>
        <bgColor indexed="64"/>
      </patternFill>
    </fill>
    <fill>
      <patternFill patternType="solid">
        <fgColor rgb="FF0086DD"/>
        <bgColor indexed="64"/>
      </patternFill>
    </fill>
    <fill>
      <patternFill patternType="solid">
        <fgColor rgb="FF4A8915"/>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96C8BE"/>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xf numFmtId="0" fontId="2" fillId="0" borderId="0"/>
    <xf numFmtId="0" fontId="2" fillId="0" borderId="0"/>
  </cellStyleXfs>
  <cellXfs count="61">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64" fontId="1" fillId="2" borderId="0" xfId="9" applyNumberFormat="1" applyFill="1"/>
    <xf numFmtId="0" fontId="9" fillId="0" borderId="0" xfId="8" applyFont="1"/>
    <xf numFmtId="0" fontId="7" fillId="0" borderId="0" xfId="11" applyAlignment="1" applyProtection="1"/>
    <xf numFmtId="0" fontId="10"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0" fillId="0" borderId="0" xfId="0" applyProtection="1">
      <protection locked="0"/>
    </xf>
    <xf numFmtId="49" fontId="0" fillId="0" borderId="0" xfId="0" applyNumberFormat="1" applyProtection="1">
      <protection locked="0"/>
    </xf>
    <xf numFmtId="0" fontId="29" fillId="3" borderId="2" xfId="0" applyFont="1" applyFill="1" applyBorder="1" applyAlignment="1" applyProtection="1">
      <alignment horizontal="left" vertical="center"/>
    </xf>
    <xf numFmtId="49" fontId="29" fillId="3" borderId="2" xfId="0" applyNumberFormat="1" applyFont="1" applyFill="1" applyBorder="1" applyAlignment="1" applyProtection="1">
      <alignment horizontal="left" vertical="center"/>
    </xf>
    <xf numFmtId="0" fontId="29" fillId="4" borderId="2" xfId="0" applyFont="1" applyFill="1" applyBorder="1" applyAlignment="1" applyProtection="1">
      <alignment horizontal="left" vertical="center"/>
    </xf>
    <xf numFmtId="0" fontId="29" fillId="5" borderId="2" xfId="0" applyFont="1" applyFill="1" applyBorder="1" applyAlignment="1" applyProtection="1">
      <alignment horizontal="left" vertical="center"/>
    </xf>
    <xf numFmtId="0" fontId="29" fillId="6" borderId="2" xfId="0" applyFont="1" applyFill="1" applyBorder="1" applyAlignment="1" applyProtection="1">
      <alignment horizontal="left" vertical="center"/>
    </xf>
    <xf numFmtId="0" fontId="29" fillId="7" borderId="2" xfId="0" applyFont="1" applyFill="1" applyBorder="1" applyAlignment="1" applyProtection="1">
      <alignment horizontal="left" vertical="center"/>
    </xf>
    <xf numFmtId="0" fontId="30" fillId="8" borderId="2" xfId="0" applyFont="1" applyFill="1" applyBorder="1" applyAlignment="1" applyProtection="1">
      <alignment horizontal="left" vertical="center"/>
    </xf>
    <xf numFmtId="0" fontId="29" fillId="9" borderId="2" xfId="0" applyFont="1" applyFill="1" applyBorder="1" applyAlignment="1" applyProtection="1">
      <alignment horizontal="left" vertical="center"/>
    </xf>
    <xf numFmtId="0" fontId="29" fillId="10" borderId="2" xfId="0" applyFont="1" applyFill="1" applyBorder="1" applyAlignment="1" applyProtection="1">
      <alignment horizontal="left" vertical="center"/>
    </xf>
    <xf numFmtId="0" fontId="29" fillId="11" borderId="2" xfId="0" applyFont="1" applyFill="1" applyBorder="1" applyAlignment="1" applyProtection="1">
      <alignment horizontal="left" vertical="center"/>
    </xf>
    <xf numFmtId="0" fontId="29" fillId="13" borderId="2" xfId="0" applyFont="1" applyFill="1" applyBorder="1" applyAlignment="1" applyProtection="1">
      <alignment horizontal="left" vertical="center"/>
    </xf>
    <xf numFmtId="0" fontId="30" fillId="12" borderId="2" xfId="0" applyFont="1" applyFill="1" applyBorder="1" applyAlignment="1" applyProtection="1">
      <alignment horizontal="left" vertical="center"/>
    </xf>
    <xf numFmtId="0" fontId="31" fillId="3" borderId="1" xfId="0" applyFont="1" applyFill="1" applyBorder="1" applyAlignment="1" applyProtection="1">
      <alignment horizontal="left" vertical="center"/>
    </xf>
    <xf numFmtId="49" fontId="31" fillId="3" borderId="1" xfId="0" applyNumberFormat="1" applyFont="1" applyFill="1" applyBorder="1" applyAlignment="1" applyProtection="1">
      <alignment horizontal="left" vertical="center"/>
    </xf>
    <xf numFmtId="0" fontId="31" fillId="4" borderId="1" xfId="0" applyFont="1" applyFill="1" applyBorder="1" applyAlignment="1" applyProtection="1">
      <alignment horizontal="left" vertical="center"/>
    </xf>
    <xf numFmtId="0" fontId="31" fillId="5" borderId="1" xfId="0" applyFont="1" applyFill="1" applyBorder="1" applyAlignment="1" applyProtection="1">
      <alignment horizontal="left" vertical="center"/>
    </xf>
    <xf numFmtId="0" fontId="31" fillId="6" borderId="1" xfId="0" applyFont="1" applyFill="1" applyBorder="1" applyAlignment="1" applyProtection="1">
      <alignment horizontal="left" vertical="center"/>
    </xf>
    <xf numFmtId="0" fontId="31" fillId="7" borderId="1" xfId="0" applyFont="1" applyFill="1" applyBorder="1" applyAlignment="1" applyProtection="1">
      <alignment horizontal="left" vertical="center"/>
    </xf>
    <xf numFmtId="0" fontId="32" fillId="8" borderId="1" xfId="0" applyFont="1" applyFill="1" applyBorder="1" applyAlignment="1" applyProtection="1">
      <alignment horizontal="left" vertical="center"/>
    </xf>
    <xf numFmtId="0" fontId="31" fillId="9" borderId="1" xfId="0" applyFont="1" applyFill="1" applyBorder="1" applyAlignment="1" applyProtection="1">
      <alignment horizontal="left" vertical="center"/>
    </xf>
    <xf numFmtId="0" fontId="31" fillId="10" borderId="1" xfId="0" applyFont="1" applyFill="1" applyBorder="1" applyAlignment="1" applyProtection="1">
      <alignment horizontal="left" vertical="center"/>
    </xf>
    <xf numFmtId="0" fontId="31" fillId="11" borderId="1" xfId="0" applyFont="1" applyFill="1" applyBorder="1" applyAlignment="1" applyProtection="1">
      <alignment horizontal="left" vertical="center"/>
    </xf>
    <xf numFmtId="0" fontId="31" fillId="13" borderId="1" xfId="0" applyFont="1" applyFill="1" applyBorder="1" applyAlignment="1" applyProtection="1">
      <alignment horizontal="left" vertical="center"/>
    </xf>
    <xf numFmtId="0" fontId="32" fillId="12" borderId="1" xfId="0" applyFont="1" applyFill="1" applyBorder="1" applyAlignment="1" applyProtection="1">
      <alignment horizontal="left" vertical="center"/>
    </xf>
    <xf numFmtId="0" fontId="0" fillId="0" borderId="0" xfId="0" applyAlignment="1" applyProtection="1">
      <alignment wrapText="1"/>
      <protection locked="0"/>
    </xf>
  </cellXfs>
  <cellStyles count="15">
    <cellStyle name="Comma" xfId="4"/>
    <cellStyle name="Comma [0]" xfId="5"/>
    <cellStyle name="Currency" xfId="2"/>
    <cellStyle name="Currency [0]" xfId="3"/>
    <cellStyle name="Hyperlink" xfId="11"/>
    <cellStyle name="Normal" xfId="0" builtinId="0"/>
    <cellStyle name="Normal 10 2" xfId="8"/>
    <cellStyle name="Normal 2" xfId="6"/>
    <cellStyle name="Normal 2 2" xfId="9"/>
    <cellStyle name="Normal 2 3" xfId="7"/>
    <cellStyle name="Normal 3" xfId="12"/>
    <cellStyle name="Normal 3 2" xfId="14"/>
    <cellStyle name="Normal 4" xfId="13"/>
    <cellStyle name="Normal 7" xfId="10"/>
    <cellStyle name="Percent" xfId="1"/>
  </cellStyles>
  <dxfs count="3360">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E25" sqref="E25"/>
    </sheetView>
  </sheetViews>
  <sheetFormatPr defaultColWidth="9.140625" defaultRowHeight="12.75" x14ac:dyDescent="0.2"/>
  <cols>
    <col min="1" max="1" width="9.140625" style="1" customWidth="1"/>
    <col min="2" max="16384" width="9.140625" style="1"/>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selection activeCell="D23" sqref="D23"/>
    </sheetView>
  </sheetViews>
  <sheetFormatPr defaultColWidth="9.140625" defaultRowHeight="12.75" x14ac:dyDescent="0.2"/>
  <cols>
    <col min="1" max="1" width="17.85546875" style="3" bestFit="1" customWidth="1"/>
    <col min="2" max="2" width="33.42578125" style="3" bestFit="1" customWidth="1"/>
    <col min="3" max="256" width="9.140625" style="3" customWidth="1"/>
    <col min="257" max="257" width="17.85546875" style="3" bestFit="1" customWidth="1"/>
    <col min="258" max="258" width="33.42578125" style="3" bestFit="1" customWidth="1"/>
    <col min="259" max="512" width="9.140625" style="3" customWidth="1"/>
    <col min="513" max="513" width="17.85546875" style="3" bestFit="1" customWidth="1"/>
    <col min="514" max="514" width="33.42578125" style="3" bestFit="1" customWidth="1"/>
    <col min="515" max="768" width="9.140625" style="3" customWidth="1"/>
    <col min="769" max="769" width="17.85546875" style="3" bestFit="1" customWidth="1"/>
    <col min="770" max="770" width="33.42578125" style="3" bestFit="1" customWidth="1"/>
    <col min="771" max="1024" width="9.140625" style="3" customWidth="1"/>
    <col min="1025" max="1025" width="17.85546875" style="3" bestFit="1" customWidth="1"/>
    <col min="1026" max="1026" width="33.42578125" style="3" bestFit="1" customWidth="1"/>
    <col min="1027" max="1280" width="9.140625" style="3" customWidth="1"/>
    <col min="1281" max="1281" width="17.85546875" style="3" bestFit="1" customWidth="1"/>
    <col min="1282" max="1282" width="33.42578125" style="3" bestFit="1" customWidth="1"/>
    <col min="1283" max="1536" width="9.140625" style="3" customWidth="1"/>
    <col min="1537" max="1537" width="17.85546875" style="3" bestFit="1" customWidth="1"/>
    <col min="1538" max="1538" width="33.42578125" style="3" bestFit="1" customWidth="1"/>
    <col min="1539" max="1792" width="9.140625" style="3" customWidth="1"/>
    <col min="1793" max="1793" width="17.85546875" style="3" bestFit="1" customWidth="1"/>
    <col min="1794" max="1794" width="33.42578125" style="3" bestFit="1" customWidth="1"/>
    <col min="1795" max="2048" width="9.140625" style="3" customWidth="1"/>
    <col min="2049" max="2049" width="17.85546875" style="3" bestFit="1" customWidth="1"/>
    <col min="2050" max="2050" width="33.42578125" style="3" bestFit="1" customWidth="1"/>
    <col min="2051" max="2304" width="9.140625" style="3" customWidth="1"/>
    <col min="2305" max="2305" width="17.85546875" style="3" bestFit="1" customWidth="1"/>
    <col min="2306" max="2306" width="33.42578125" style="3" bestFit="1" customWidth="1"/>
    <col min="2307" max="2560" width="9.140625" style="3" customWidth="1"/>
    <col min="2561" max="2561" width="17.85546875" style="3" bestFit="1" customWidth="1"/>
    <col min="2562" max="2562" width="33.42578125" style="3" bestFit="1" customWidth="1"/>
    <col min="2563" max="2816" width="9.140625" style="3" customWidth="1"/>
    <col min="2817" max="2817" width="17.85546875" style="3" bestFit="1" customWidth="1"/>
    <col min="2818" max="2818" width="33.42578125" style="3" bestFit="1" customWidth="1"/>
    <col min="2819" max="3072" width="9.140625" style="3" customWidth="1"/>
    <col min="3073" max="3073" width="17.85546875" style="3" bestFit="1" customWidth="1"/>
    <col min="3074" max="3074" width="33.42578125" style="3" bestFit="1" customWidth="1"/>
    <col min="3075" max="3328" width="9.140625" style="3" customWidth="1"/>
    <col min="3329" max="3329" width="17.85546875" style="3" bestFit="1" customWidth="1"/>
    <col min="3330" max="3330" width="33.42578125" style="3" bestFit="1" customWidth="1"/>
    <col min="3331" max="3584" width="9.140625" style="3" customWidth="1"/>
    <col min="3585" max="3585" width="17.85546875" style="3" bestFit="1" customWidth="1"/>
    <col min="3586" max="3586" width="33.42578125" style="3" bestFit="1" customWidth="1"/>
    <col min="3587" max="3840" width="9.140625" style="3" customWidth="1"/>
    <col min="3841" max="3841" width="17.85546875" style="3" bestFit="1" customWidth="1"/>
    <col min="3842" max="3842" width="33.42578125" style="3" bestFit="1" customWidth="1"/>
    <col min="3843" max="4096" width="9.140625" style="3" customWidth="1"/>
    <col min="4097" max="4097" width="17.85546875" style="3" bestFit="1" customWidth="1"/>
    <col min="4098" max="4098" width="33.42578125" style="3" bestFit="1" customWidth="1"/>
    <col min="4099" max="4352" width="9.140625" style="3" customWidth="1"/>
    <col min="4353" max="4353" width="17.85546875" style="3" bestFit="1" customWidth="1"/>
    <col min="4354" max="4354" width="33.42578125" style="3" bestFit="1" customWidth="1"/>
    <col min="4355" max="4608" width="9.140625" style="3" customWidth="1"/>
    <col min="4609" max="4609" width="17.85546875" style="3" bestFit="1" customWidth="1"/>
    <col min="4610" max="4610" width="33.42578125" style="3" bestFit="1" customWidth="1"/>
    <col min="4611" max="4864" width="9.140625" style="3" customWidth="1"/>
    <col min="4865" max="4865" width="17.85546875" style="3" bestFit="1" customWidth="1"/>
    <col min="4866" max="4866" width="33.42578125" style="3" bestFit="1" customWidth="1"/>
    <col min="4867" max="5120" width="9.140625" style="3" customWidth="1"/>
    <col min="5121" max="5121" width="17.85546875" style="3" bestFit="1" customWidth="1"/>
    <col min="5122" max="5122" width="33.42578125" style="3" bestFit="1" customWidth="1"/>
    <col min="5123" max="5376" width="9.140625" style="3" customWidth="1"/>
    <col min="5377" max="5377" width="17.85546875" style="3" bestFit="1" customWidth="1"/>
    <col min="5378" max="5378" width="33.42578125" style="3" bestFit="1" customWidth="1"/>
    <col min="5379" max="5632" width="9.140625" style="3" customWidth="1"/>
    <col min="5633" max="5633" width="17.85546875" style="3" bestFit="1" customWidth="1"/>
    <col min="5634" max="5634" width="33.42578125" style="3" bestFit="1" customWidth="1"/>
    <col min="5635" max="5888" width="9.140625" style="3" customWidth="1"/>
    <col min="5889" max="5889" width="17.85546875" style="3" bestFit="1" customWidth="1"/>
    <col min="5890" max="5890" width="33.42578125" style="3" bestFit="1" customWidth="1"/>
    <col min="5891" max="6144" width="9.140625" style="3" customWidth="1"/>
    <col min="6145" max="6145" width="17.85546875" style="3" bestFit="1" customWidth="1"/>
    <col min="6146" max="6146" width="33.42578125" style="3" bestFit="1" customWidth="1"/>
    <col min="6147" max="6400" width="9.140625" style="3" customWidth="1"/>
    <col min="6401" max="6401" width="17.85546875" style="3" bestFit="1" customWidth="1"/>
    <col min="6402" max="6402" width="33.42578125" style="3" bestFit="1" customWidth="1"/>
    <col min="6403" max="6656" width="9.140625" style="3" customWidth="1"/>
    <col min="6657" max="6657" width="17.85546875" style="3" bestFit="1" customWidth="1"/>
    <col min="6658" max="6658" width="33.42578125" style="3" bestFit="1" customWidth="1"/>
    <col min="6659" max="6912" width="9.140625" style="3" customWidth="1"/>
    <col min="6913" max="6913" width="17.85546875" style="3" bestFit="1" customWidth="1"/>
    <col min="6914" max="6914" width="33.42578125" style="3" bestFit="1" customWidth="1"/>
    <col min="6915" max="7168" width="9.140625" style="3" customWidth="1"/>
    <col min="7169" max="7169" width="17.85546875" style="3" bestFit="1" customWidth="1"/>
    <col min="7170" max="7170" width="33.42578125" style="3" bestFit="1" customWidth="1"/>
    <col min="7171" max="7424" width="9.140625" style="3" customWidth="1"/>
    <col min="7425" max="7425" width="17.85546875" style="3" bestFit="1" customWidth="1"/>
    <col min="7426" max="7426" width="33.42578125" style="3" bestFit="1" customWidth="1"/>
    <col min="7427" max="7680" width="9.140625" style="3" customWidth="1"/>
    <col min="7681" max="7681" width="17.85546875" style="3" bestFit="1" customWidth="1"/>
    <col min="7682" max="7682" width="33.42578125" style="3" bestFit="1" customWidth="1"/>
    <col min="7683" max="7936" width="9.140625" style="3" customWidth="1"/>
    <col min="7937" max="7937" width="17.85546875" style="3" bestFit="1" customWidth="1"/>
    <col min="7938" max="7938" width="33.42578125" style="3" bestFit="1" customWidth="1"/>
    <col min="7939" max="8192" width="9.140625" style="3" customWidth="1"/>
    <col min="8193" max="8193" width="17.85546875" style="3" bestFit="1" customWidth="1"/>
    <col min="8194" max="8194" width="33.42578125" style="3" bestFit="1" customWidth="1"/>
    <col min="8195" max="8448" width="9.140625" style="3" customWidth="1"/>
    <col min="8449" max="8449" width="17.85546875" style="3" bestFit="1" customWidth="1"/>
    <col min="8450" max="8450" width="33.42578125" style="3" bestFit="1" customWidth="1"/>
    <col min="8451" max="8704" width="9.140625" style="3" customWidth="1"/>
    <col min="8705" max="8705" width="17.85546875" style="3" bestFit="1" customWidth="1"/>
    <col min="8706" max="8706" width="33.42578125" style="3" bestFit="1" customWidth="1"/>
    <col min="8707" max="8960" width="9.140625" style="3" customWidth="1"/>
    <col min="8961" max="8961" width="17.85546875" style="3" bestFit="1" customWidth="1"/>
    <col min="8962" max="8962" width="33.42578125" style="3" bestFit="1" customWidth="1"/>
    <col min="8963" max="9216" width="9.140625" style="3" customWidth="1"/>
    <col min="9217" max="9217" width="17.85546875" style="3" bestFit="1" customWidth="1"/>
    <col min="9218" max="9218" width="33.42578125" style="3" bestFit="1" customWidth="1"/>
    <col min="9219" max="9472" width="9.140625" style="3" customWidth="1"/>
    <col min="9473" max="9473" width="17.85546875" style="3" bestFit="1" customWidth="1"/>
    <col min="9474" max="9474" width="33.42578125" style="3" bestFit="1" customWidth="1"/>
    <col min="9475" max="9728" width="9.140625" style="3" customWidth="1"/>
    <col min="9729" max="9729" width="17.85546875" style="3" bestFit="1" customWidth="1"/>
    <col min="9730" max="9730" width="33.42578125" style="3" bestFit="1" customWidth="1"/>
    <col min="9731" max="9984" width="9.140625" style="3" customWidth="1"/>
    <col min="9985" max="9985" width="17.85546875" style="3" bestFit="1" customWidth="1"/>
    <col min="9986" max="9986" width="33.42578125" style="3" bestFit="1" customWidth="1"/>
    <col min="9987" max="10240" width="9.140625" style="3" customWidth="1"/>
    <col min="10241" max="10241" width="17.85546875" style="3" bestFit="1" customWidth="1"/>
    <col min="10242" max="10242" width="33.42578125" style="3" bestFit="1" customWidth="1"/>
    <col min="10243" max="10496" width="9.140625" style="3" customWidth="1"/>
    <col min="10497" max="10497" width="17.85546875" style="3" bestFit="1" customWidth="1"/>
    <col min="10498" max="10498" width="33.42578125" style="3" bestFit="1" customWidth="1"/>
    <col min="10499" max="10752" width="9.140625" style="3" customWidth="1"/>
    <col min="10753" max="10753" width="17.85546875" style="3" bestFit="1" customWidth="1"/>
    <col min="10754" max="10754" width="33.42578125" style="3" bestFit="1" customWidth="1"/>
    <col min="10755" max="11008" width="9.140625" style="3" customWidth="1"/>
    <col min="11009" max="11009" width="17.85546875" style="3" bestFit="1" customWidth="1"/>
    <col min="11010" max="11010" width="33.42578125" style="3" bestFit="1" customWidth="1"/>
    <col min="11011" max="11264" width="9.140625" style="3" customWidth="1"/>
    <col min="11265" max="11265" width="17.85546875" style="3" bestFit="1" customWidth="1"/>
    <col min="11266" max="11266" width="33.42578125" style="3" bestFit="1" customWidth="1"/>
    <col min="11267" max="11520" width="9.140625" style="3" customWidth="1"/>
    <col min="11521" max="11521" width="17.85546875" style="3" bestFit="1" customWidth="1"/>
    <col min="11522" max="11522" width="33.42578125" style="3" bestFit="1" customWidth="1"/>
    <col min="11523" max="11776" width="9.140625" style="3" customWidth="1"/>
    <col min="11777" max="11777" width="17.85546875" style="3" bestFit="1" customWidth="1"/>
    <col min="11778" max="11778" width="33.42578125" style="3" bestFit="1" customWidth="1"/>
    <col min="11779" max="12032" width="9.140625" style="3" customWidth="1"/>
    <col min="12033" max="12033" width="17.85546875" style="3" bestFit="1" customWidth="1"/>
    <col min="12034" max="12034" width="33.42578125" style="3" bestFit="1" customWidth="1"/>
    <col min="12035" max="12288" width="9.140625" style="3" customWidth="1"/>
    <col min="12289" max="12289" width="17.85546875" style="3" bestFit="1" customWidth="1"/>
    <col min="12290" max="12290" width="33.42578125" style="3" bestFit="1" customWidth="1"/>
    <col min="12291" max="12544" width="9.140625" style="3" customWidth="1"/>
    <col min="12545" max="12545" width="17.85546875" style="3" bestFit="1" customWidth="1"/>
    <col min="12546" max="12546" width="33.42578125" style="3" bestFit="1" customWidth="1"/>
    <col min="12547" max="12800" width="9.140625" style="3" customWidth="1"/>
    <col min="12801" max="12801" width="17.85546875" style="3" bestFit="1" customWidth="1"/>
    <col min="12802" max="12802" width="33.42578125" style="3" bestFit="1" customWidth="1"/>
    <col min="12803" max="13056" width="9.140625" style="3" customWidth="1"/>
    <col min="13057" max="13057" width="17.85546875" style="3" bestFit="1" customWidth="1"/>
    <col min="13058" max="13058" width="33.42578125" style="3" bestFit="1" customWidth="1"/>
    <col min="13059" max="13312" width="9.140625" style="3" customWidth="1"/>
    <col min="13313" max="13313" width="17.85546875" style="3" bestFit="1" customWidth="1"/>
    <col min="13314" max="13314" width="33.42578125" style="3" bestFit="1" customWidth="1"/>
    <col min="13315" max="13568" width="9.140625" style="3" customWidth="1"/>
    <col min="13569" max="13569" width="17.85546875" style="3" bestFit="1" customWidth="1"/>
    <col min="13570" max="13570" width="33.42578125" style="3" bestFit="1" customWidth="1"/>
    <col min="13571" max="13824" width="9.140625" style="3" customWidth="1"/>
    <col min="13825" max="13825" width="17.85546875" style="3" bestFit="1" customWidth="1"/>
    <col min="13826" max="13826" width="33.42578125" style="3" bestFit="1" customWidth="1"/>
    <col min="13827" max="14080" width="9.140625" style="3" customWidth="1"/>
    <col min="14081" max="14081" width="17.85546875" style="3" bestFit="1" customWidth="1"/>
    <col min="14082" max="14082" width="33.42578125" style="3" bestFit="1" customWidth="1"/>
    <col min="14083" max="14336" width="9.140625" style="3" customWidth="1"/>
    <col min="14337" max="14337" width="17.85546875" style="3" bestFit="1" customWidth="1"/>
    <col min="14338" max="14338" width="33.42578125" style="3" bestFit="1" customWidth="1"/>
    <col min="14339" max="14592" width="9.140625" style="3" customWidth="1"/>
    <col min="14593" max="14593" width="17.85546875" style="3" bestFit="1" customWidth="1"/>
    <col min="14594" max="14594" width="33.42578125" style="3" bestFit="1" customWidth="1"/>
    <col min="14595" max="14848" width="9.140625" style="3" customWidth="1"/>
    <col min="14849" max="14849" width="17.85546875" style="3" bestFit="1" customWidth="1"/>
    <col min="14850" max="14850" width="33.42578125" style="3" bestFit="1" customWidth="1"/>
    <col min="14851" max="15104" width="9.140625" style="3" customWidth="1"/>
    <col min="15105" max="15105" width="17.85546875" style="3" bestFit="1" customWidth="1"/>
    <col min="15106" max="15106" width="33.42578125" style="3" bestFit="1" customWidth="1"/>
    <col min="15107" max="15360" width="9.140625" style="3" customWidth="1"/>
    <col min="15361" max="15361" width="17.85546875" style="3" bestFit="1" customWidth="1"/>
    <col min="15362" max="15362" width="33.42578125" style="3" bestFit="1" customWidth="1"/>
    <col min="15363" max="15616" width="9.140625" style="3" customWidth="1"/>
    <col min="15617" max="15617" width="17.85546875" style="3" bestFit="1" customWidth="1"/>
    <col min="15618" max="15618" width="33.42578125" style="3" bestFit="1" customWidth="1"/>
    <col min="15619" max="15872" width="9.140625" style="3" customWidth="1"/>
    <col min="15873" max="15873" width="17.85546875" style="3" bestFit="1" customWidth="1"/>
    <col min="15874" max="15874" width="33.42578125" style="3" bestFit="1" customWidth="1"/>
    <col min="15875" max="16128" width="9.140625" style="3" customWidth="1"/>
    <col min="16129" max="16129" width="17.85546875" style="3" bestFit="1" customWidth="1"/>
    <col min="16130" max="16130" width="33.42578125" style="3" bestFit="1" customWidth="1"/>
    <col min="16131" max="16384" width="9.140625" style="3" customWidth="1"/>
  </cols>
  <sheetData>
    <row r="13" spans="1:2" x14ac:dyDescent="0.2">
      <c r="A13" s="2" t="s">
        <v>0</v>
      </c>
      <c r="B13" s="2" t="s">
        <v>1</v>
      </c>
    </row>
    <row r="14" spans="1:2" x14ac:dyDescent="0.2">
      <c r="A14" s="4" t="s">
        <v>2</v>
      </c>
      <c r="B14" s="1" t="s">
        <v>3</v>
      </c>
    </row>
    <row r="15" spans="1:2" x14ac:dyDescent="0.2">
      <c r="A15" s="4" t="s">
        <v>4</v>
      </c>
      <c r="B15" s="1" t="s">
        <v>5</v>
      </c>
    </row>
    <row r="16" spans="1:2" x14ac:dyDescent="0.2">
      <c r="A16" s="4" t="s">
        <v>6</v>
      </c>
      <c r="B16" s="1" t="s">
        <v>7</v>
      </c>
    </row>
    <row r="17" spans="1:2" x14ac:dyDescent="0.2">
      <c r="A17" s="4" t="s">
        <v>8</v>
      </c>
      <c r="B17" s="1" t="s">
        <v>9</v>
      </c>
    </row>
    <row r="18" spans="1:2" x14ac:dyDescent="0.2">
      <c r="A18" s="4" t="s">
        <v>10</v>
      </c>
      <c r="B18" s="1" t="s">
        <v>11</v>
      </c>
    </row>
    <row r="19" spans="1:2" x14ac:dyDescent="0.2">
      <c r="A19" s="4" t="s">
        <v>12</v>
      </c>
      <c r="B19" s="1" t="s">
        <v>7</v>
      </c>
    </row>
    <row r="20" spans="1:2" x14ac:dyDescent="0.2">
      <c r="A20" s="4" t="s">
        <v>13</v>
      </c>
      <c r="B20" s="1" t="s">
        <v>7</v>
      </c>
    </row>
    <row r="21" spans="1:2" x14ac:dyDescent="0.2">
      <c r="A21" s="4" t="s">
        <v>14</v>
      </c>
      <c r="B21" s="1" t="s">
        <v>15</v>
      </c>
    </row>
    <row r="22" spans="1:2" x14ac:dyDescent="0.2">
      <c r="A22" s="5" t="s">
        <v>16</v>
      </c>
    </row>
    <row r="23" spans="1:2" x14ac:dyDescent="0.2">
      <c r="A23" s="5"/>
    </row>
    <row r="24" spans="1:2" x14ac:dyDescent="0.2">
      <c r="A24" s="2" t="s">
        <v>0</v>
      </c>
      <c r="B24" s="2" t="s">
        <v>17</v>
      </c>
    </row>
    <row r="25" spans="1:2" x14ac:dyDescent="0.2">
      <c r="A25" s="4" t="s">
        <v>2</v>
      </c>
      <c r="B25" s="6" t="s">
        <v>18</v>
      </c>
    </row>
    <row r="26" spans="1:2" x14ac:dyDescent="0.2">
      <c r="A26" s="4" t="s">
        <v>4</v>
      </c>
      <c r="B26" s="6" t="s">
        <v>18</v>
      </c>
    </row>
    <row r="27" spans="1:2" x14ac:dyDescent="0.2">
      <c r="A27" s="4" t="s">
        <v>6</v>
      </c>
      <c r="B27" s="6" t="s">
        <v>19</v>
      </c>
    </row>
    <row r="28" spans="1:2" x14ac:dyDescent="0.2">
      <c r="A28" s="4" t="s">
        <v>8</v>
      </c>
      <c r="B28" s="6" t="s">
        <v>20</v>
      </c>
    </row>
    <row r="29" spans="1:2" x14ac:dyDescent="0.2">
      <c r="A29" s="4" t="s">
        <v>10</v>
      </c>
      <c r="B29" s="6" t="s">
        <v>21</v>
      </c>
    </row>
    <row r="30" spans="1:2" x14ac:dyDescent="0.2">
      <c r="A30" s="4" t="s">
        <v>12</v>
      </c>
      <c r="B30" s="6" t="s">
        <v>22</v>
      </c>
    </row>
    <row r="31" spans="1:2" x14ac:dyDescent="0.2">
      <c r="A31" s="4" t="s">
        <v>13</v>
      </c>
      <c r="B31" s="6" t="s">
        <v>23</v>
      </c>
    </row>
    <row r="32" spans="1:2" x14ac:dyDescent="0.2">
      <c r="A32" s="4" t="s">
        <v>14</v>
      </c>
      <c r="B32" s="6" t="s">
        <v>24</v>
      </c>
    </row>
    <row r="33" spans="1:2" x14ac:dyDescent="0.2">
      <c r="A33" s="4" t="s">
        <v>25</v>
      </c>
      <c r="B33" s="6" t="s">
        <v>26</v>
      </c>
    </row>
    <row r="34" spans="1:2" x14ac:dyDescent="0.2">
      <c r="A34" s="5" t="s">
        <v>16</v>
      </c>
    </row>
    <row r="36" spans="1:2" x14ac:dyDescent="0.2">
      <c r="A36" s="2" t="s">
        <v>0</v>
      </c>
      <c r="B36" s="2" t="s">
        <v>27</v>
      </c>
    </row>
    <row r="37" spans="1:2" x14ac:dyDescent="0.2">
      <c r="A37" s="4" t="s">
        <v>2</v>
      </c>
      <c r="B37" s="7" t="s">
        <v>28</v>
      </c>
    </row>
    <row r="38" spans="1:2" x14ac:dyDescent="0.2">
      <c r="A38" s="4" t="s">
        <v>4</v>
      </c>
      <c r="B38" s="7" t="s">
        <v>28</v>
      </c>
    </row>
    <row r="39" spans="1:2" x14ac:dyDescent="0.2">
      <c r="A39" s="4" t="s">
        <v>6</v>
      </c>
      <c r="B39" s="7" t="s">
        <v>29</v>
      </c>
    </row>
    <row r="40" spans="1:2" x14ac:dyDescent="0.2">
      <c r="A40" s="4" t="s">
        <v>8</v>
      </c>
      <c r="B40" s="7" t="s">
        <v>29</v>
      </c>
    </row>
    <row r="41" spans="1:2" x14ac:dyDescent="0.2">
      <c r="A41" s="4" t="s">
        <v>10</v>
      </c>
      <c r="B41" s="7" t="s">
        <v>29</v>
      </c>
    </row>
    <row r="42" spans="1:2" x14ac:dyDescent="0.2">
      <c r="A42" s="4" t="s">
        <v>12</v>
      </c>
      <c r="B42" s="7" t="s">
        <v>29</v>
      </c>
    </row>
    <row r="43" spans="1:2" x14ac:dyDescent="0.2">
      <c r="A43" s="4" t="s">
        <v>13</v>
      </c>
      <c r="B43" s="7" t="s">
        <v>29</v>
      </c>
    </row>
    <row r="44" spans="1:2" x14ac:dyDescent="0.2">
      <c r="A44" s="4" t="s">
        <v>14</v>
      </c>
      <c r="B44" s="7" t="s">
        <v>30</v>
      </c>
    </row>
    <row r="45" spans="1:2" x14ac:dyDescent="0.2">
      <c r="A45" s="4" t="s">
        <v>25</v>
      </c>
      <c r="B45" s="7" t="s">
        <v>31</v>
      </c>
    </row>
    <row r="46" spans="1:2" x14ac:dyDescent="0.2">
      <c r="A46" s="5" t="s">
        <v>16</v>
      </c>
    </row>
    <row r="48" spans="1:2" x14ac:dyDescent="0.2">
      <c r="A48" s="2" t="s">
        <v>0</v>
      </c>
      <c r="B48" s="2" t="s">
        <v>32</v>
      </c>
    </row>
    <row r="49" spans="1:2" x14ac:dyDescent="0.2">
      <c r="A49" s="4" t="s">
        <v>2</v>
      </c>
      <c r="B49" s="7" t="s">
        <v>33</v>
      </c>
    </row>
    <row r="50" spans="1:2" x14ac:dyDescent="0.2">
      <c r="A50" s="4" t="s">
        <v>4</v>
      </c>
      <c r="B50" s="7" t="s">
        <v>33</v>
      </c>
    </row>
    <row r="51" spans="1:2" x14ac:dyDescent="0.2">
      <c r="A51" s="4" t="s">
        <v>6</v>
      </c>
      <c r="B51" s="7" t="s">
        <v>34</v>
      </c>
    </row>
    <row r="52" spans="1:2" x14ac:dyDescent="0.2">
      <c r="A52" s="4" t="s">
        <v>8</v>
      </c>
      <c r="B52" s="7" t="s">
        <v>34</v>
      </c>
    </row>
    <row r="53" spans="1:2" x14ac:dyDescent="0.2">
      <c r="A53" s="4" t="s">
        <v>10</v>
      </c>
      <c r="B53" s="7" t="s">
        <v>34</v>
      </c>
    </row>
    <row r="54" spans="1:2" x14ac:dyDescent="0.2">
      <c r="A54" s="4" t="s">
        <v>12</v>
      </c>
      <c r="B54" s="7" t="s">
        <v>34</v>
      </c>
    </row>
    <row r="55" spans="1:2" x14ac:dyDescent="0.2">
      <c r="A55" s="4" t="s">
        <v>13</v>
      </c>
      <c r="B55" s="7" t="s">
        <v>34</v>
      </c>
    </row>
    <row r="56" spans="1:2" x14ac:dyDescent="0.2">
      <c r="A56" s="4" t="s">
        <v>14</v>
      </c>
      <c r="B56" s="7" t="s">
        <v>35</v>
      </c>
    </row>
    <row r="57" spans="1:2" x14ac:dyDescent="0.2">
      <c r="A57" s="4" t="s">
        <v>25</v>
      </c>
      <c r="B57" s="7" t="s">
        <v>36</v>
      </c>
    </row>
    <row r="58" spans="1:2" x14ac:dyDescent="0.2">
      <c r="A58" s="5" t="s">
        <v>16</v>
      </c>
    </row>
    <row r="59" spans="1:2" x14ac:dyDescent="0.2">
      <c r="A59" s="4"/>
      <c r="B59" s="7"/>
    </row>
    <row r="60" spans="1:2" x14ac:dyDescent="0.2">
      <c r="A60" s="2" t="s">
        <v>0</v>
      </c>
      <c r="B60" s="2" t="s">
        <v>37</v>
      </c>
    </row>
    <row r="61" spans="1:2" ht="15" x14ac:dyDescent="0.25">
      <c r="A61" s="4" t="s">
        <v>2</v>
      </c>
      <c r="B61" t="s">
        <v>38</v>
      </c>
    </row>
    <row r="62" spans="1:2" ht="15" x14ac:dyDescent="0.25">
      <c r="A62" s="4" t="s">
        <v>4</v>
      </c>
      <c r="B62" t="s">
        <v>38</v>
      </c>
    </row>
    <row r="63" spans="1:2" x14ac:dyDescent="0.2">
      <c r="A63" s="4" t="s">
        <v>6</v>
      </c>
      <c r="B63" s="6" t="s">
        <v>39</v>
      </c>
    </row>
    <row r="64" spans="1:2" x14ac:dyDescent="0.2">
      <c r="A64" s="4" t="s">
        <v>8</v>
      </c>
      <c r="B64" s="6" t="s">
        <v>39</v>
      </c>
    </row>
    <row r="65" spans="1:2" x14ac:dyDescent="0.2">
      <c r="A65" s="4" t="s">
        <v>10</v>
      </c>
      <c r="B65" s="6" t="s">
        <v>39</v>
      </c>
    </row>
    <row r="66" spans="1:2" x14ac:dyDescent="0.2">
      <c r="A66" s="4" t="s">
        <v>12</v>
      </c>
      <c r="B66" s="6" t="s">
        <v>39</v>
      </c>
    </row>
    <row r="67" spans="1:2" x14ac:dyDescent="0.2">
      <c r="A67" s="4" t="s">
        <v>13</v>
      </c>
      <c r="B67" s="6" t="s">
        <v>39</v>
      </c>
    </row>
    <row r="68" spans="1:2" x14ac:dyDescent="0.2">
      <c r="A68" s="4" t="s">
        <v>14</v>
      </c>
      <c r="B68" s="6" t="s">
        <v>40</v>
      </c>
    </row>
    <row r="69" spans="1:2" x14ac:dyDescent="0.2">
      <c r="A69" s="4" t="s">
        <v>25</v>
      </c>
      <c r="B69" s="6" t="s">
        <v>41</v>
      </c>
    </row>
    <row r="70" spans="1:2" x14ac:dyDescent="0.2">
      <c r="A70" s="5" t="s">
        <v>16</v>
      </c>
    </row>
    <row r="71" spans="1:2" x14ac:dyDescent="0.2">
      <c r="A71" s="4"/>
      <c r="B71" s="8"/>
    </row>
    <row r="72" spans="1:2" x14ac:dyDescent="0.2">
      <c r="A72" s="2" t="s">
        <v>0</v>
      </c>
      <c r="B72" s="2" t="s">
        <v>42</v>
      </c>
    </row>
    <row r="73" spans="1:2" ht="15" x14ac:dyDescent="0.25">
      <c r="A73" s="4" t="s">
        <v>2</v>
      </c>
      <c r="B73" t="s">
        <v>43</v>
      </c>
    </row>
    <row r="74" spans="1:2" ht="15" x14ac:dyDescent="0.25">
      <c r="A74" s="4" t="s">
        <v>4</v>
      </c>
      <c r="B74" t="s">
        <v>43</v>
      </c>
    </row>
    <row r="75" spans="1:2" x14ac:dyDescent="0.2">
      <c r="A75" s="4" t="s">
        <v>6</v>
      </c>
      <c r="B75" s="6" t="s">
        <v>44</v>
      </c>
    </row>
    <row r="76" spans="1:2" x14ac:dyDescent="0.2">
      <c r="A76" s="4" t="s">
        <v>8</v>
      </c>
      <c r="B76" s="6" t="s">
        <v>44</v>
      </c>
    </row>
    <row r="77" spans="1:2" x14ac:dyDescent="0.2">
      <c r="A77" s="4" t="s">
        <v>10</v>
      </c>
      <c r="B77" s="6" t="s">
        <v>44</v>
      </c>
    </row>
    <row r="78" spans="1:2" x14ac:dyDescent="0.2">
      <c r="A78" s="4" t="s">
        <v>12</v>
      </c>
      <c r="B78" s="6" t="s">
        <v>44</v>
      </c>
    </row>
    <row r="79" spans="1:2" x14ac:dyDescent="0.2">
      <c r="A79" s="4" t="s">
        <v>13</v>
      </c>
      <c r="B79" s="6" t="s">
        <v>44</v>
      </c>
    </row>
    <row r="80" spans="1:2" x14ac:dyDescent="0.2">
      <c r="A80" s="4" t="s">
        <v>14</v>
      </c>
      <c r="B80" s="6" t="s">
        <v>45</v>
      </c>
    </row>
    <row r="81" spans="1:2" x14ac:dyDescent="0.2">
      <c r="A81" s="4" t="s">
        <v>25</v>
      </c>
      <c r="B81" s="6" t="s">
        <v>46</v>
      </c>
    </row>
    <row r="82" spans="1:2" x14ac:dyDescent="0.2">
      <c r="A82" s="5" t="s">
        <v>16</v>
      </c>
    </row>
    <row r="84" spans="1:2" x14ac:dyDescent="0.2">
      <c r="A84" s="2" t="s">
        <v>0</v>
      </c>
      <c r="B84" s="2" t="s">
        <v>47</v>
      </c>
    </row>
    <row r="85" spans="1:2" ht="15" x14ac:dyDescent="0.25">
      <c r="A85" s="4" t="s">
        <v>2</v>
      </c>
      <c r="B85" t="s">
        <v>48</v>
      </c>
    </row>
    <row r="86" spans="1:2" ht="15" x14ac:dyDescent="0.25">
      <c r="A86" s="4" t="s">
        <v>4</v>
      </c>
      <c r="B86" t="s">
        <v>48</v>
      </c>
    </row>
    <row r="87" spans="1:2" x14ac:dyDescent="0.2">
      <c r="A87" s="4" t="s">
        <v>6</v>
      </c>
      <c r="B87" s="6" t="s">
        <v>49</v>
      </c>
    </row>
    <row r="88" spans="1:2" x14ac:dyDescent="0.2">
      <c r="A88" s="4" t="s">
        <v>8</v>
      </c>
      <c r="B88" s="6" t="s">
        <v>49</v>
      </c>
    </row>
    <row r="89" spans="1:2" x14ac:dyDescent="0.2">
      <c r="A89" s="4" t="s">
        <v>10</v>
      </c>
      <c r="B89" s="6" t="s">
        <v>49</v>
      </c>
    </row>
    <row r="90" spans="1:2" x14ac:dyDescent="0.2">
      <c r="A90" s="4" t="s">
        <v>12</v>
      </c>
      <c r="B90" s="6" t="s">
        <v>49</v>
      </c>
    </row>
    <row r="91" spans="1:2" x14ac:dyDescent="0.2">
      <c r="A91" s="4" t="s">
        <v>13</v>
      </c>
      <c r="B91" s="6" t="s">
        <v>49</v>
      </c>
    </row>
    <row r="92" spans="1:2" x14ac:dyDescent="0.2">
      <c r="A92" s="4" t="s">
        <v>14</v>
      </c>
      <c r="B92" s="6" t="s">
        <v>50</v>
      </c>
    </row>
    <row r="93" spans="1:2" x14ac:dyDescent="0.2">
      <c r="A93" s="4" t="s">
        <v>25</v>
      </c>
      <c r="B93" s="6" t="s">
        <v>51</v>
      </c>
    </row>
    <row r="94" spans="1:2" x14ac:dyDescent="0.2">
      <c r="A94" s="5" t="s">
        <v>16</v>
      </c>
    </row>
  </sheetData>
  <hyperlinks>
    <hyperlink ref="B30" r:id="rId1"/>
    <hyperlink ref="B31" r:id="rId2"/>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ustomWidth="1"/>
    <col min="257" max="257" width="108.140625" style="9" customWidth="1"/>
    <col min="258" max="258" width="57.85546875" style="9" bestFit="1" customWidth="1"/>
    <col min="259" max="512" width="9.140625" style="9" customWidth="1"/>
    <col min="513" max="513" width="108.140625" style="9" customWidth="1"/>
    <col min="514" max="514" width="57.85546875" style="9" bestFit="1" customWidth="1"/>
    <col min="515" max="768" width="9.140625" style="9" customWidth="1"/>
    <col min="769" max="769" width="108.140625" style="9" customWidth="1"/>
    <col min="770" max="770" width="57.85546875" style="9" bestFit="1" customWidth="1"/>
    <col min="771" max="1024" width="9.140625" style="9" customWidth="1"/>
    <col min="1025" max="1025" width="108.140625" style="9" customWidth="1"/>
    <col min="1026" max="1026" width="57.85546875" style="9" bestFit="1" customWidth="1"/>
    <col min="1027" max="1280" width="9.140625" style="9" customWidth="1"/>
    <col min="1281" max="1281" width="108.140625" style="9" customWidth="1"/>
    <col min="1282" max="1282" width="57.85546875" style="9" bestFit="1" customWidth="1"/>
    <col min="1283" max="1536" width="9.140625" style="9" customWidth="1"/>
    <col min="1537" max="1537" width="108.140625" style="9" customWidth="1"/>
    <col min="1538" max="1538" width="57.85546875" style="9" bestFit="1" customWidth="1"/>
    <col min="1539" max="1792" width="9.140625" style="9" customWidth="1"/>
    <col min="1793" max="1793" width="108.140625" style="9" customWidth="1"/>
    <col min="1794" max="1794" width="57.85546875" style="9" bestFit="1" customWidth="1"/>
    <col min="1795" max="2048" width="9.140625" style="9" customWidth="1"/>
    <col min="2049" max="2049" width="108.140625" style="9" customWidth="1"/>
    <col min="2050" max="2050" width="57.85546875" style="9" bestFit="1" customWidth="1"/>
    <col min="2051" max="2304" width="9.140625" style="9" customWidth="1"/>
    <col min="2305" max="2305" width="108.140625" style="9" customWidth="1"/>
    <col min="2306" max="2306" width="57.85546875" style="9" bestFit="1" customWidth="1"/>
    <col min="2307" max="2560" width="9.140625" style="9" customWidth="1"/>
    <col min="2561" max="2561" width="108.140625" style="9" customWidth="1"/>
    <col min="2562" max="2562" width="57.85546875" style="9" bestFit="1" customWidth="1"/>
    <col min="2563" max="2816" width="9.140625" style="9" customWidth="1"/>
    <col min="2817" max="2817" width="108.140625" style="9" customWidth="1"/>
    <col min="2818" max="2818" width="57.85546875" style="9" bestFit="1" customWidth="1"/>
    <col min="2819" max="3072" width="9.140625" style="9" customWidth="1"/>
    <col min="3073" max="3073" width="108.140625" style="9" customWidth="1"/>
    <col min="3074" max="3074" width="57.85546875" style="9" bestFit="1" customWidth="1"/>
    <col min="3075" max="3328" width="9.140625" style="9" customWidth="1"/>
    <col min="3329" max="3329" width="108.140625" style="9" customWidth="1"/>
    <col min="3330" max="3330" width="57.85546875" style="9" bestFit="1" customWidth="1"/>
    <col min="3331" max="3584" width="9.140625" style="9" customWidth="1"/>
    <col min="3585" max="3585" width="108.140625" style="9" customWidth="1"/>
    <col min="3586" max="3586" width="57.85546875" style="9" bestFit="1" customWidth="1"/>
    <col min="3587" max="3840" width="9.140625" style="9" customWidth="1"/>
    <col min="3841" max="3841" width="108.140625" style="9" customWidth="1"/>
    <col min="3842" max="3842" width="57.85546875" style="9" bestFit="1" customWidth="1"/>
    <col min="3843" max="4096" width="9.140625" style="9" customWidth="1"/>
    <col min="4097" max="4097" width="108.140625" style="9" customWidth="1"/>
    <col min="4098" max="4098" width="57.85546875" style="9" bestFit="1" customWidth="1"/>
    <col min="4099" max="4352" width="9.140625" style="9" customWidth="1"/>
    <col min="4353" max="4353" width="108.140625" style="9" customWidth="1"/>
    <col min="4354" max="4354" width="57.85546875" style="9" bestFit="1" customWidth="1"/>
    <col min="4355" max="4608" width="9.140625" style="9" customWidth="1"/>
    <col min="4609" max="4609" width="108.140625" style="9" customWidth="1"/>
    <col min="4610" max="4610" width="57.85546875" style="9" bestFit="1" customWidth="1"/>
    <col min="4611" max="4864" width="9.140625" style="9" customWidth="1"/>
    <col min="4865" max="4865" width="108.140625" style="9" customWidth="1"/>
    <col min="4866" max="4866" width="57.85546875" style="9" bestFit="1" customWidth="1"/>
    <col min="4867" max="5120" width="9.140625" style="9" customWidth="1"/>
    <col min="5121" max="5121" width="108.140625" style="9" customWidth="1"/>
    <col min="5122" max="5122" width="57.85546875" style="9" bestFit="1" customWidth="1"/>
    <col min="5123" max="5376" width="9.140625" style="9" customWidth="1"/>
    <col min="5377" max="5377" width="108.140625" style="9" customWidth="1"/>
    <col min="5378" max="5378" width="57.85546875" style="9" bestFit="1" customWidth="1"/>
    <col min="5379" max="5632" width="9.140625" style="9" customWidth="1"/>
    <col min="5633" max="5633" width="108.140625" style="9" customWidth="1"/>
    <col min="5634" max="5634" width="57.85546875" style="9" bestFit="1" customWidth="1"/>
    <col min="5635" max="5888" width="9.140625" style="9" customWidth="1"/>
    <col min="5889" max="5889" width="108.140625" style="9" customWidth="1"/>
    <col min="5890" max="5890" width="57.85546875" style="9" bestFit="1" customWidth="1"/>
    <col min="5891" max="6144" width="9.140625" style="9" customWidth="1"/>
    <col min="6145" max="6145" width="108.140625" style="9" customWidth="1"/>
    <col min="6146" max="6146" width="57.85546875" style="9" bestFit="1" customWidth="1"/>
    <col min="6147" max="6400" width="9.140625" style="9" customWidth="1"/>
    <col min="6401" max="6401" width="108.140625" style="9" customWidth="1"/>
    <col min="6402" max="6402" width="57.85546875" style="9" bestFit="1" customWidth="1"/>
    <col min="6403" max="6656" width="9.140625" style="9" customWidth="1"/>
    <col min="6657" max="6657" width="108.140625" style="9" customWidth="1"/>
    <col min="6658" max="6658" width="57.85546875" style="9" bestFit="1" customWidth="1"/>
    <col min="6659" max="6912" width="9.140625" style="9" customWidth="1"/>
    <col min="6913" max="6913" width="108.140625" style="9" customWidth="1"/>
    <col min="6914" max="6914" width="57.85546875" style="9" bestFit="1" customWidth="1"/>
    <col min="6915" max="7168" width="9.140625" style="9" customWidth="1"/>
    <col min="7169" max="7169" width="108.140625" style="9" customWidth="1"/>
    <col min="7170" max="7170" width="57.85546875" style="9" bestFit="1" customWidth="1"/>
    <col min="7171" max="7424" width="9.140625" style="9" customWidth="1"/>
    <col min="7425" max="7425" width="108.140625" style="9" customWidth="1"/>
    <col min="7426" max="7426" width="57.85546875" style="9" bestFit="1" customWidth="1"/>
    <col min="7427" max="7680" width="9.140625" style="9" customWidth="1"/>
    <col min="7681" max="7681" width="108.140625" style="9" customWidth="1"/>
    <col min="7682" max="7682" width="57.85546875" style="9" bestFit="1" customWidth="1"/>
    <col min="7683" max="7936" width="9.140625" style="9" customWidth="1"/>
    <col min="7937" max="7937" width="108.140625" style="9" customWidth="1"/>
    <col min="7938" max="7938" width="57.85546875" style="9" bestFit="1" customWidth="1"/>
    <col min="7939" max="8192" width="9.140625" style="9" customWidth="1"/>
    <col min="8193" max="8193" width="108.140625" style="9" customWidth="1"/>
    <col min="8194" max="8194" width="57.85546875" style="9" bestFit="1" customWidth="1"/>
    <col min="8195" max="8448" width="9.140625" style="9" customWidth="1"/>
    <col min="8449" max="8449" width="108.140625" style="9" customWidth="1"/>
    <col min="8450" max="8450" width="57.85546875" style="9" bestFit="1" customWidth="1"/>
    <col min="8451" max="8704" width="9.140625" style="9" customWidth="1"/>
    <col min="8705" max="8705" width="108.140625" style="9" customWidth="1"/>
    <col min="8706" max="8706" width="57.85546875" style="9" bestFit="1" customWidth="1"/>
    <col min="8707" max="8960" width="9.140625" style="9" customWidth="1"/>
    <col min="8961" max="8961" width="108.140625" style="9" customWidth="1"/>
    <col min="8962" max="8962" width="57.85546875" style="9" bestFit="1" customWidth="1"/>
    <col min="8963" max="9216" width="9.140625" style="9" customWidth="1"/>
    <col min="9217" max="9217" width="108.140625" style="9" customWidth="1"/>
    <col min="9218" max="9218" width="57.85546875" style="9" bestFit="1" customWidth="1"/>
    <col min="9219" max="9472" width="9.140625" style="9" customWidth="1"/>
    <col min="9473" max="9473" width="108.140625" style="9" customWidth="1"/>
    <col min="9474" max="9474" width="57.85546875" style="9" bestFit="1" customWidth="1"/>
    <col min="9475" max="9728" width="9.140625" style="9" customWidth="1"/>
    <col min="9729" max="9729" width="108.140625" style="9" customWidth="1"/>
    <col min="9730" max="9730" width="57.85546875" style="9" bestFit="1" customWidth="1"/>
    <col min="9731" max="9984" width="9.140625" style="9" customWidth="1"/>
    <col min="9985" max="9985" width="108.140625" style="9" customWidth="1"/>
    <col min="9986" max="9986" width="57.85546875" style="9" bestFit="1" customWidth="1"/>
    <col min="9987" max="10240" width="9.140625" style="9" customWidth="1"/>
    <col min="10241" max="10241" width="108.140625" style="9" customWidth="1"/>
    <col min="10242" max="10242" width="57.85546875" style="9" bestFit="1" customWidth="1"/>
    <col min="10243" max="10496" width="9.140625" style="9" customWidth="1"/>
    <col min="10497" max="10497" width="108.140625" style="9" customWidth="1"/>
    <col min="10498" max="10498" width="57.85546875" style="9" bestFit="1" customWidth="1"/>
    <col min="10499" max="10752" width="9.140625" style="9" customWidth="1"/>
    <col min="10753" max="10753" width="108.140625" style="9" customWidth="1"/>
    <col min="10754" max="10754" width="57.85546875" style="9" bestFit="1" customWidth="1"/>
    <col min="10755" max="11008" width="9.140625" style="9" customWidth="1"/>
    <col min="11009" max="11009" width="108.140625" style="9" customWidth="1"/>
    <col min="11010" max="11010" width="57.85546875" style="9" bestFit="1" customWidth="1"/>
    <col min="11011" max="11264" width="9.140625" style="9" customWidth="1"/>
    <col min="11265" max="11265" width="108.140625" style="9" customWidth="1"/>
    <col min="11266" max="11266" width="57.85546875" style="9" bestFit="1" customWidth="1"/>
    <col min="11267" max="11520" width="9.140625" style="9" customWidth="1"/>
    <col min="11521" max="11521" width="108.140625" style="9" customWidth="1"/>
    <col min="11522" max="11522" width="57.85546875" style="9" bestFit="1" customWidth="1"/>
    <col min="11523" max="11776" width="9.140625" style="9" customWidth="1"/>
    <col min="11777" max="11777" width="108.140625" style="9" customWidth="1"/>
    <col min="11778" max="11778" width="57.85546875" style="9" bestFit="1" customWidth="1"/>
    <col min="11779" max="12032" width="9.140625" style="9" customWidth="1"/>
    <col min="12033" max="12033" width="108.140625" style="9" customWidth="1"/>
    <col min="12034" max="12034" width="57.85546875" style="9" bestFit="1" customWidth="1"/>
    <col min="12035" max="12288" width="9.140625" style="9" customWidth="1"/>
    <col min="12289" max="12289" width="108.140625" style="9" customWidth="1"/>
    <col min="12290" max="12290" width="57.85546875" style="9" bestFit="1" customWidth="1"/>
    <col min="12291" max="12544" width="9.140625" style="9" customWidth="1"/>
    <col min="12545" max="12545" width="108.140625" style="9" customWidth="1"/>
    <col min="12546" max="12546" width="57.85546875" style="9" bestFit="1" customWidth="1"/>
    <col min="12547" max="12800" width="9.140625" style="9" customWidth="1"/>
    <col min="12801" max="12801" width="108.140625" style="9" customWidth="1"/>
    <col min="12802" max="12802" width="57.85546875" style="9" bestFit="1" customWidth="1"/>
    <col min="12803" max="13056" width="9.140625" style="9" customWidth="1"/>
    <col min="13057" max="13057" width="108.140625" style="9" customWidth="1"/>
    <col min="13058" max="13058" width="57.85546875" style="9" bestFit="1" customWidth="1"/>
    <col min="13059" max="13312" width="9.140625" style="9" customWidth="1"/>
    <col min="13313" max="13313" width="108.140625" style="9" customWidth="1"/>
    <col min="13314" max="13314" width="57.85546875" style="9" bestFit="1" customWidth="1"/>
    <col min="13315" max="13568" width="9.140625" style="9" customWidth="1"/>
    <col min="13569" max="13569" width="108.140625" style="9" customWidth="1"/>
    <col min="13570" max="13570" width="57.85546875" style="9" bestFit="1" customWidth="1"/>
    <col min="13571" max="13824" width="9.140625" style="9" customWidth="1"/>
    <col min="13825" max="13825" width="108.140625" style="9" customWidth="1"/>
    <col min="13826" max="13826" width="57.85546875" style="9" bestFit="1" customWidth="1"/>
    <col min="13827" max="14080" width="9.140625" style="9" customWidth="1"/>
    <col min="14081" max="14081" width="108.140625" style="9" customWidth="1"/>
    <col min="14082" max="14082" width="57.85546875" style="9" bestFit="1" customWidth="1"/>
    <col min="14083" max="14336" width="9.140625" style="9" customWidth="1"/>
    <col min="14337" max="14337" width="108.140625" style="9" customWidth="1"/>
    <col min="14338" max="14338" width="57.85546875" style="9" bestFit="1" customWidth="1"/>
    <col min="14339" max="14592" width="9.140625" style="9" customWidth="1"/>
    <col min="14593" max="14593" width="108.140625" style="9" customWidth="1"/>
    <col min="14594" max="14594" width="57.85546875" style="9" bestFit="1" customWidth="1"/>
    <col min="14595" max="14848" width="9.140625" style="9" customWidth="1"/>
    <col min="14849" max="14849" width="108.140625" style="9" customWidth="1"/>
    <col min="14850" max="14850" width="57.85546875" style="9" bestFit="1" customWidth="1"/>
    <col min="14851" max="15104" width="9.140625" style="9" customWidth="1"/>
    <col min="15105" max="15105" width="108.140625" style="9" customWidth="1"/>
    <col min="15106" max="15106" width="57.85546875" style="9" bestFit="1" customWidth="1"/>
    <col min="15107" max="15360" width="9.140625" style="9" customWidth="1"/>
    <col min="15361" max="15361" width="108.140625" style="9" customWidth="1"/>
    <col min="15362" max="15362" width="57.85546875" style="9" bestFit="1" customWidth="1"/>
    <col min="15363" max="15616" width="9.140625" style="9" customWidth="1"/>
    <col min="15617" max="15617" width="108.140625" style="9" customWidth="1"/>
    <col min="15618" max="15618" width="57.85546875" style="9" bestFit="1" customWidth="1"/>
    <col min="15619" max="15872" width="9.140625" style="9" customWidth="1"/>
    <col min="15873" max="15873" width="108.140625" style="9" customWidth="1"/>
    <col min="15874" max="15874" width="57.85546875" style="9" bestFit="1" customWidth="1"/>
    <col min="15875" max="16128" width="9.140625" style="9" customWidth="1"/>
    <col min="16129" max="16129" width="108.140625" style="9" customWidth="1"/>
    <col min="16130" max="16130" width="57.85546875" style="9" bestFit="1" customWidth="1"/>
    <col min="16131" max="16384" width="9.140625" style="9" customWidth="1"/>
  </cols>
  <sheetData>
    <row r="1" spans="1:80" x14ac:dyDescent="0.2">
      <c r="A1" s="9" t="b">
        <v>0</v>
      </c>
      <c r="B1" s="10" t="s">
        <v>52</v>
      </c>
    </row>
    <row r="2" spans="1:80" x14ac:dyDescent="0.2">
      <c r="A2" s="11" t="s">
        <v>2</v>
      </c>
      <c r="B2" s="10" t="s">
        <v>53</v>
      </c>
    </row>
    <row r="3" spans="1:80" x14ac:dyDescent="0.2">
      <c r="A3" s="12" t="s">
        <v>2</v>
      </c>
      <c r="B3" s="10" t="s">
        <v>54</v>
      </c>
    </row>
    <row r="4" spans="1:80" x14ac:dyDescent="0.2">
      <c r="A4" s="13" t="s">
        <v>55</v>
      </c>
      <c r="B4" s="14" t="s">
        <v>56</v>
      </c>
    </row>
    <row r="5" spans="1:80" x14ac:dyDescent="0.2">
      <c r="A5" s="13"/>
      <c r="B5" s="14" t="s">
        <v>57</v>
      </c>
    </row>
    <row r="6" spans="1:80" x14ac:dyDescent="0.2">
      <c r="A6" s="15"/>
      <c r="B6" s="14" t="s">
        <v>58</v>
      </c>
    </row>
    <row r="7" spans="1:80" x14ac:dyDescent="0.2">
      <c r="A7" s="15"/>
      <c r="B7" s="14" t="s">
        <v>59</v>
      </c>
    </row>
    <row r="8" spans="1:80" x14ac:dyDescent="0.2">
      <c r="A8" s="15"/>
      <c r="B8" s="14" t="s">
        <v>60</v>
      </c>
    </row>
    <row r="9" spans="1:80" x14ac:dyDescent="0.2">
      <c r="A9" s="1" t="s">
        <v>61</v>
      </c>
      <c r="B9" s="14" t="s">
        <v>62</v>
      </c>
    </row>
    <row r="10" spans="1:80" x14ac:dyDescent="0.2">
      <c r="A10" s="1" t="str">
        <f>$A$9</f>
        <v>http://g-ecx.images-amazon.com/images/G/01/rainier/help/ff/</v>
      </c>
      <c r="B10" s="14" t="s">
        <v>63</v>
      </c>
    </row>
    <row r="11" spans="1:80" x14ac:dyDescent="0.2">
      <c r="A11" s="1" t="str">
        <f>$A$9</f>
        <v>http://g-ecx.images-amazon.com/images/G/01/rainier/help/ff/</v>
      </c>
      <c r="B11" s="14" t="s">
        <v>64</v>
      </c>
    </row>
    <row r="12" spans="1:80" x14ac:dyDescent="0.2">
      <c r="A12" s="1" t="str">
        <f>A9&amp;"beta/"</f>
        <v>http://g-ecx.images-amazon.com/images/G/01/rainier/help/ff/beta/</v>
      </c>
      <c r="B12" s="14" t="s">
        <v>65</v>
      </c>
    </row>
    <row r="13" spans="1:80" x14ac:dyDescent="0.2">
      <c r="A13" s="1" t="str">
        <f>A10&amp;"beta/"</f>
        <v>http://g-ecx.images-amazon.com/images/G/01/rainier/help/ff/beta/</v>
      </c>
      <c r="B13" s="14" t="s">
        <v>66</v>
      </c>
    </row>
    <row r="14" spans="1:80" x14ac:dyDescent="0.2">
      <c r="A14" s="1" t="str">
        <f>A11&amp;"beta/"</f>
        <v>http://g-ecx.images-amazon.com/images/G/01/rainier/help/ff/beta/</v>
      </c>
      <c r="B14" s="14" t="s">
        <v>67</v>
      </c>
    </row>
    <row r="15" spans="1:80" x14ac:dyDescent="0.2">
      <c r="A15" s="1" t="s">
        <v>68</v>
      </c>
      <c r="B15" s="16" t="s">
        <v>69</v>
      </c>
    </row>
    <row r="16" spans="1:80" x14ac:dyDescent="0.2">
      <c r="A16" s="1" t="s">
        <v>70</v>
      </c>
      <c r="B16" s="16" t="s">
        <v>71</v>
      </c>
    </row>
    <row r="17" spans="1:80" x14ac:dyDescent="0.2">
      <c r="A17" s="1" t="s">
        <v>72</v>
      </c>
      <c r="B17" s="16" t="s">
        <v>73</v>
      </c>
    </row>
    <row r="18" spans="1:80" ht="15" x14ac:dyDescent="0.25">
      <c r="A18" s="17"/>
      <c r="B18" s="14" t="s">
        <v>74</v>
      </c>
    </row>
    <row r="19" spans="1:80" ht="15" x14ac:dyDescent="0.25">
      <c r="A19" s="17"/>
      <c r="B19" s="14" t="s">
        <v>75</v>
      </c>
    </row>
    <row r="20" spans="1:80" ht="15" x14ac:dyDescent="0.25">
      <c r="A20" s="17"/>
      <c r="B20" s="14" t="s">
        <v>76</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x14ac:dyDescent="0.2">
      <c r="A25" s="1" t="b">
        <v>0</v>
      </c>
      <c r="B25" s="10" t="s">
        <v>82</v>
      </c>
    </row>
    <row r="26" spans="1:80" x14ac:dyDescent="0.2">
      <c r="A26" s="6"/>
      <c r="B26" s="10" t="s">
        <v>83</v>
      </c>
    </row>
    <row r="27" spans="1:80" x14ac:dyDescent="0.2">
      <c r="A27" s="19">
        <v>41070.875104166669</v>
      </c>
      <c r="B27" s="10" t="s">
        <v>84</v>
      </c>
    </row>
    <row r="28" spans="1:80" x14ac:dyDescent="0.2">
      <c r="A28" s="9" t="b">
        <v>0</v>
      </c>
      <c r="B28" s="10" t="s">
        <v>85</v>
      </c>
    </row>
    <row r="29" spans="1:80" x14ac:dyDescent="0.2">
      <c r="A29" s="12" t="s">
        <v>86</v>
      </c>
      <c r="B29" s="10" t="s">
        <v>87</v>
      </c>
    </row>
    <row r="30" spans="1:80" x14ac:dyDescent="0.2">
      <c r="A30" s="12" t="s">
        <v>88</v>
      </c>
      <c r="B30" s="10" t="s">
        <v>89</v>
      </c>
    </row>
    <row r="31" spans="1:80" x14ac:dyDescent="0.2">
      <c r="A31" s="12" t="s">
        <v>90</v>
      </c>
      <c r="B31" s="10" t="s">
        <v>91</v>
      </c>
    </row>
    <row r="32" spans="1:80" x14ac:dyDescent="0.2">
      <c r="A32" s="12" t="s">
        <v>92</v>
      </c>
      <c r="B32" s="10" t="s">
        <v>93</v>
      </c>
    </row>
    <row r="33" spans="1:2" x14ac:dyDescent="0.2">
      <c r="A33" s="12" t="s">
        <v>94</v>
      </c>
      <c r="B33" s="10" t="s">
        <v>95</v>
      </c>
    </row>
    <row r="34" spans="1:2" x14ac:dyDescent="0.2">
      <c r="A34" s="12" t="s">
        <v>96</v>
      </c>
      <c r="B34" s="10" t="s">
        <v>97</v>
      </c>
    </row>
    <row r="35" spans="1:2" x14ac:dyDescent="0.2">
      <c r="A35" s="11" t="s">
        <v>104</v>
      </c>
      <c r="B35" s="10" t="s">
        <v>98</v>
      </c>
    </row>
    <row r="36" spans="1:2" x14ac:dyDescent="0.2">
      <c r="A36" s="20" t="s">
        <v>99</v>
      </c>
      <c r="B36" s="10" t="s">
        <v>100</v>
      </c>
    </row>
    <row r="37" spans="1:2" x14ac:dyDescent="0.2">
      <c r="A37" s="11" t="s">
        <v>101</v>
      </c>
      <c r="B37" s="10" t="s">
        <v>102</v>
      </c>
    </row>
    <row r="38" spans="1:2" x14ac:dyDescent="0.2">
      <c r="A38" s="11" t="s">
        <v>105</v>
      </c>
      <c r="B38" s="10" t="s">
        <v>103</v>
      </c>
    </row>
    <row r="39" spans="1:2" x14ac:dyDescent="0.2">
      <c r="A39" s="21"/>
    </row>
  </sheetData>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8.85546875" defaultRowHeight="15"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sheetViews>
  <sheetFormatPr defaultColWidth="8.85546875" defaultRowHeight="15" x14ac:dyDescent="0.25"/>
  <cols>
    <col min="1" max="1" width="30.5703125" style="25" bestFit="1" customWidth="1"/>
    <col min="2" max="2" width="21.85546875" customWidth="1"/>
    <col min="257" max="257" width="30.5703125" bestFit="1" customWidth="1"/>
    <col min="258" max="258" width="21.85546875" customWidth="1"/>
    <col min="513" max="513" width="30.5703125" bestFit="1" customWidth="1"/>
    <col min="514" max="514" width="21.85546875" customWidth="1"/>
    <col min="769" max="769" width="30.5703125" bestFit="1" customWidth="1"/>
    <col min="770" max="770" width="21.85546875" customWidth="1"/>
    <col min="1025" max="1025" width="30.5703125" bestFit="1" customWidth="1"/>
    <col min="1026" max="1026" width="21.85546875" customWidth="1"/>
    <col min="1281" max="1281" width="30.5703125" bestFit="1" customWidth="1"/>
    <col min="1282" max="1282" width="21.85546875" customWidth="1"/>
    <col min="1537" max="1537" width="30.5703125" bestFit="1" customWidth="1"/>
    <col min="1538" max="1538" width="21.85546875" customWidth="1"/>
    <col min="1793" max="1793" width="30.5703125" bestFit="1" customWidth="1"/>
    <col min="1794" max="1794" width="21.85546875" customWidth="1"/>
    <col min="2049" max="2049" width="30.5703125" bestFit="1" customWidth="1"/>
    <col min="2050" max="2050" width="21.85546875" customWidth="1"/>
    <col min="2305" max="2305" width="30.5703125" bestFit="1" customWidth="1"/>
    <col min="2306" max="2306" width="21.85546875" customWidth="1"/>
    <col min="2561" max="2561" width="30.5703125" bestFit="1" customWidth="1"/>
    <col min="2562" max="2562" width="21.85546875" customWidth="1"/>
    <col min="2817" max="2817" width="30.5703125" bestFit="1" customWidth="1"/>
    <col min="2818" max="2818" width="21.85546875" customWidth="1"/>
    <col min="3073" max="3073" width="30.5703125" bestFit="1" customWidth="1"/>
    <col min="3074" max="3074" width="21.85546875" customWidth="1"/>
    <col min="3329" max="3329" width="30.5703125" bestFit="1" customWidth="1"/>
    <col min="3330" max="3330" width="21.85546875" customWidth="1"/>
    <col min="3585" max="3585" width="30.5703125" bestFit="1" customWidth="1"/>
    <col min="3586" max="3586" width="21.85546875" customWidth="1"/>
    <col min="3841" max="3841" width="30.5703125" bestFit="1" customWidth="1"/>
    <col min="3842" max="3842" width="21.85546875" customWidth="1"/>
    <col min="4097" max="4097" width="30.5703125" bestFit="1" customWidth="1"/>
    <col min="4098" max="4098" width="21.85546875" customWidth="1"/>
    <col min="4353" max="4353" width="30.5703125" bestFit="1" customWidth="1"/>
    <col min="4354" max="4354" width="21.85546875" customWidth="1"/>
    <col min="4609" max="4609" width="30.5703125" bestFit="1" customWidth="1"/>
    <col min="4610" max="4610" width="21.85546875" customWidth="1"/>
    <col min="4865" max="4865" width="30.5703125" bestFit="1" customWidth="1"/>
    <col min="4866" max="4866" width="21.85546875" customWidth="1"/>
    <col min="5121" max="5121" width="30.5703125" bestFit="1" customWidth="1"/>
    <col min="5122" max="5122" width="21.85546875" customWidth="1"/>
    <col min="5377" max="5377" width="30.5703125" bestFit="1" customWidth="1"/>
    <col min="5378" max="5378" width="21.85546875" customWidth="1"/>
    <col min="5633" max="5633" width="30.5703125" bestFit="1" customWidth="1"/>
    <col min="5634" max="5634" width="21.85546875" customWidth="1"/>
    <col min="5889" max="5889" width="30.5703125" bestFit="1" customWidth="1"/>
    <col min="5890" max="5890" width="21.85546875" customWidth="1"/>
    <col min="6145" max="6145" width="30.5703125" bestFit="1" customWidth="1"/>
    <col min="6146" max="6146" width="21.85546875" customWidth="1"/>
    <col min="6401" max="6401" width="30.5703125" bestFit="1" customWidth="1"/>
    <col min="6402" max="6402" width="21.85546875" customWidth="1"/>
    <col min="6657" max="6657" width="30.5703125" bestFit="1" customWidth="1"/>
    <col min="6658" max="6658" width="21.85546875" customWidth="1"/>
    <col min="6913" max="6913" width="30.5703125" bestFit="1" customWidth="1"/>
    <col min="6914" max="6914" width="21.85546875" customWidth="1"/>
    <col min="7169" max="7169" width="30.5703125" bestFit="1" customWidth="1"/>
    <col min="7170" max="7170" width="21.85546875" customWidth="1"/>
    <col min="7425" max="7425" width="30.5703125" bestFit="1" customWidth="1"/>
    <col min="7426" max="7426" width="21.85546875" customWidth="1"/>
    <col min="7681" max="7681" width="30.5703125" bestFit="1" customWidth="1"/>
    <col min="7682" max="7682" width="21.85546875" customWidth="1"/>
    <col min="7937" max="7937" width="30.5703125" bestFit="1" customWidth="1"/>
    <col min="7938" max="7938" width="21.85546875" customWidth="1"/>
    <col min="8193" max="8193" width="30.5703125" bestFit="1" customWidth="1"/>
    <col min="8194" max="8194" width="21.85546875" customWidth="1"/>
    <col min="8449" max="8449" width="30.5703125" bestFit="1" customWidth="1"/>
    <col min="8450" max="8450" width="21.85546875" customWidth="1"/>
    <col min="8705" max="8705" width="30.5703125" bestFit="1" customWidth="1"/>
    <col min="8706" max="8706" width="21.85546875" customWidth="1"/>
    <col min="8961" max="8961" width="30.5703125" bestFit="1" customWidth="1"/>
    <col min="8962" max="8962" width="21.85546875" customWidth="1"/>
    <col min="9217" max="9217" width="30.5703125" bestFit="1" customWidth="1"/>
    <col min="9218" max="9218" width="21.85546875" customWidth="1"/>
    <col min="9473" max="9473" width="30.5703125" bestFit="1" customWidth="1"/>
    <col min="9474" max="9474" width="21.85546875" customWidth="1"/>
    <col min="9729" max="9729" width="30.5703125" bestFit="1" customWidth="1"/>
    <col min="9730" max="9730" width="21.85546875" customWidth="1"/>
    <col min="9985" max="9985" width="30.5703125" bestFit="1" customWidth="1"/>
    <col min="9986" max="9986" width="21.85546875" customWidth="1"/>
    <col min="10241" max="10241" width="30.5703125" bestFit="1" customWidth="1"/>
    <col min="10242" max="10242" width="21.85546875" customWidth="1"/>
    <col min="10497" max="10497" width="30.5703125" bestFit="1" customWidth="1"/>
    <col min="10498" max="10498" width="21.85546875" customWidth="1"/>
    <col min="10753" max="10753" width="30.5703125" bestFit="1" customWidth="1"/>
    <col min="10754" max="10754" width="21.85546875" customWidth="1"/>
    <col min="11009" max="11009" width="30.5703125" bestFit="1" customWidth="1"/>
    <col min="11010" max="11010" width="21.85546875" customWidth="1"/>
    <col min="11265" max="11265" width="30.5703125" bestFit="1" customWidth="1"/>
    <col min="11266" max="11266" width="21.85546875" customWidth="1"/>
    <col min="11521" max="11521" width="30.5703125" bestFit="1" customWidth="1"/>
    <col min="11522" max="11522" width="21.85546875" customWidth="1"/>
    <col min="11777" max="11777" width="30.5703125" bestFit="1" customWidth="1"/>
    <col min="11778" max="11778" width="21.85546875" customWidth="1"/>
    <col min="12033" max="12033" width="30.5703125" bestFit="1" customWidth="1"/>
    <col min="12034" max="12034" width="21.85546875" customWidth="1"/>
    <col min="12289" max="12289" width="30.5703125" bestFit="1" customWidth="1"/>
    <col min="12290" max="12290" width="21.85546875" customWidth="1"/>
    <col min="12545" max="12545" width="30.5703125" bestFit="1" customWidth="1"/>
    <col min="12546" max="12546" width="21.85546875" customWidth="1"/>
    <col min="12801" max="12801" width="30.5703125" bestFit="1" customWidth="1"/>
    <col min="12802" max="12802" width="21.85546875" customWidth="1"/>
    <col min="13057" max="13057" width="30.5703125" bestFit="1" customWidth="1"/>
    <col min="13058" max="13058" width="21.85546875" customWidth="1"/>
    <col min="13313" max="13313" width="30.5703125" bestFit="1" customWidth="1"/>
    <col min="13314" max="13314" width="21.85546875" customWidth="1"/>
    <col min="13569" max="13569" width="30.5703125" bestFit="1" customWidth="1"/>
    <col min="13570" max="13570" width="21.85546875" customWidth="1"/>
    <col min="13825" max="13825" width="30.5703125" bestFit="1" customWidth="1"/>
    <col min="13826" max="13826" width="21.85546875" customWidth="1"/>
    <col min="14081" max="14081" width="30.5703125" bestFit="1" customWidth="1"/>
    <col min="14082" max="14082" width="21.85546875" customWidth="1"/>
    <col min="14337" max="14337" width="30.5703125" bestFit="1" customWidth="1"/>
    <col min="14338" max="14338" width="21.85546875" customWidth="1"/>
    <col min="14593" max="14593" width="30.5703125" bestFit="1" customWidth="1"/>
    <col min="14594" max="14594" width="21.85546875" customWidth="1"/>
    <col min="14849" max="14849" width="30.5703125" bestFit="1" customWidth="1"/>
    <col min="14850" max="14850" width="21.85546875" customWidth="1"/>
    <col min="15105" max="15105" width="30.5703125" bestFit="1" customWidth="1"/>
    <col min="15106" max="15106" width="21.85546875" customWidth="1"/>
    <col min="15361" max="15361" width="30.5703125" bestFit="1" customWidth="1"/>
    <col min="15362" max="15362" width="21.85546875" customWidth="1"/>
    <col min="15617" max="15617" width="30.5703125" bestFit="1" customWidth="1"/>
    <col min="15618" max="15618" width="21.85546875" customWidth="1"/>
    <col min="15873" max="15873" width="30.5703125" bestFit="1" customWidth="1"/>
    <col min="15874" max="15874" width="21.85546875" customWidth="1"/>
    <col min="16129" max="16129" width="30.5703125" bestFit="1" customWidth="1"/>
    <col min="16130" max="16130" width="21.85546875" customWidth="1"/>
  </cols>
  <sheetData>
    <row r="1" spans="1:2" s="24" customFormat="1" x14ac:dyDescent="0.25">
      <c r="A1" s="22" t="s">
        <v>106</v>
      </c>
      <c r="B1" s="23" t="s">
        <v>2</v>
      </c>
    </row>
    <row r="2" spans="1:2" x14ac:dyDescent="0.25">
      <c r="A2" s="25" t="s">
        <v>107</v>
      </c>
      <c r="B2" t="s">
        <v>108</v>
      </c>
    </row>
    <row r="3" spans="1:2" x14ac:dyDescent="0.25">
      <c r="A3" s="25" t="s">
        <v>109</v>
      </c>
      <c r="B3" t="s">
        <v>110</v>
      </c>
    </row>
    <row r="4" spans="1:2" x14ac:dyDescent="0.25">
      <c r="A4" s="25" t="s">
        <v>111</v>
      </c>
      <c r="B4" t="s">
        <v>112</v>
      </c>
    </row>
    <row r="5" spans="1:2" x14ac:dyDescent="0.25">
      <c r="A5" s="25" t="s">
        <v>113</v>
      </c>
      <c r="B5" t="s">
        <v>114</v>
      </c>
    </row>
    <row r="6" spans="1:2" x14ac:dyDescent="0.25">
      <c r="A6" s="25" t="s">
        <v>115</v>
      </c>
      <c r="B6" t="s">
        <v>116</v>
      </c>
    </row>
    <row r="7" spans="1:2" x14ac:dyDescent="0.25">
      <c r="A7" s="25" t="s">
        <v>117</v>
      </c>
      <c r="B7" t="s">
        <v>118</v>
      </c>
    </row>
    <row r="8" spans="1:2" x14ac:dyDescent="0.25">
      <c r="A8" s="26" t="s">
        <v>119</v>
      </c>
      <c r="B8" t="s">
        <v>120</v>
      </c>
    </row>
    <row r="9" spans="1:2" x14ac:dyDescent="0.25">
      <c r="A9" s="25" t="s">
        <v>121</v>
      </c>
      <c r="B9" t="s">
        <v>122</v>
      </c>
    </row>
    <row r="10" spans="1:2" x14ac:dyDescent="0.25">
      <c r="A10" s="26" t="s">
        <v>123</v>
      </c>
      <c r="B10" t="s">
        <v>124</v>
      </c>
    </row>
    <row r="11" spans="1:2" x14ac:dyDescent="0.25">
      <c r="A11" s="25" t="s">
        <v>125</v>
      </c>
      <c r="B11" t="s">
        <v>126</v>
      </c>
    </row>
    <row r="12" spans="1:2" x14ac:dyDescent="0.25">
      <c r="A12" s="25" t="s">
        <v>127</v>
      </c>
      <c r="B12" t="s">
        <v>128</v>
      </c>
    </row>
    <row r="13" spans="1:2" x14ac:dyDescent="0.25">
      <c r="A13" s="25" t="s">
        <v>129</v>
      </c>
      <c r="B13" t="s">
        <v>130</v>
      </c>
    </row>
    <row r="14" spans="1:2" x14ac:dyDescent="0.25">
      <c r="A14" s="25" t="s">
        <v>131</v>
      </c>
      <c r="B14" t="s">
        <v>132</v>
      </c>
    </row>
    <row r="15" spans="1:2" x14ac:dyDescent="0.25">
      <c r="A15" s="25" t="s">
        <v>133</v>
      </c>
      <c r="B15" t="s">
        <v>134</v>
      </c>
    </row>
    <row r="16" spans="1:2" x14ac:dyDescent="0.25">
      <c r="A16" s="25" t="s">
        <v>135</v>
      </c>
      <c r="B16" t="s">
        <v>136</v>
      </c>
    </row>
    <row r="17" spans="1:2" x14ac:dyDescent="0.25">
      <c r="A17" s="25" t="s">
        <v>137</v>
      </c>
      <c r="B17" t="s">
        <v>138</v>
      </c>
    </row>
    <row r="18" spans="1:2" x14ac:dyDescent="0.25">
      <c r="A18" s="25" t="s">
        <v>139</v>
      </c>
      <c r="B18" t="s">
        <v>140</v>
      </c>
    </row>
    <row r="19" spans="1:2" x14ac:dyDescent="0.25">
      <c r="A19" s="25" t="s">
        <v>141</v>
      </c>
      <c r="B19" t="s">
        <v>142</v>
      </c>
    </row>
    <row r="20" spans="1:2" x14ac:dyDescent="0.25">
      <c r="A20" s="25" t="s">
        <v>143</v>
      </c>
      <c r="B20" t="s">
        <v>144</v>
      </c>
    </row>
    <row r="21" spans="1:2" x14ac:dyDescent="0.25">
      <c r="A21" s="25" t="s">
        <v>145</v>
      </c>
      <c r="B21" t="s">
        <v>146</v>
      </c>
    </row>
    <row r="22" spans="1:2" x14ac:dyDescent="0.25">
      <c r="A22" s="25" t="s">
        <v>147</v>
      </c>
      <c r="B22" t="s">
        <v>148</v>
      </c>
    </row>
    <row r="23" spans="1:2" x14ac:dyDescent="0.25">
      <c r="A23" s="25" t="s">
        <v>149</v>
      </c>
      <c r="B23" t="s">
        <v>150</v>
      </c>
    </row>
    <row r="24" spans="1:2" x14ac:dyDescent="0.25">
      <c r="A24" s="25" t="s">
        <v>151</v>
      </c>
      <c r="B24" t="s">
        <v>152</v>
      </c>
    </row>
    <row r="25" spans="1:2" x14ac:dyDescent="0.25">
      <c r="A25" s="25" t="s">
        <v>153</v>
      </c>
      <c r="B25" t="s">
        <v>154</v>
      </c>
    </row>
    <row r="26" spans="1:2" x14ac:dyDescent="0.25">
      <c r="A26" s="26" t="s">
        <v>155</v>
      </c>
      <c r="B26" t="s">
        <v>156</v>
      </c>
    </row>
    <row r="27" spans="1:2" x14ac:dyDescent="0.25">
      <c r="A27" s="25" t="s">
        <v>157</v>
      </c>
      <c r="B27" t="s">
        <v>158</v>
      </c>
    </row>
    <row r="28" spans="1:2" x14ac:dyDescent="0.25">
      <c r="A28" s="26" t="s">
        <v>159</v>
      </c>
      <c r="B28" s="27" t="s">
        <v>160</v>
      </c>
    </row>
    <row r="29" spans="1:2" x14ac:dyDescent="0.25">
      <c r="A29" s="26" t="s">
        <v>161</v>
      </c>
      <c r="B29" t="s">
        <v>162</v>
      </c>
    </row>
    <row r="30" spans="1:2" x14ac:dyDescent="0.25">
      <c r="A30" s="25" t="s">
        <v>163</v>
      </c>
      <c r="B30" t="s">
        <v>164</v>
      </c>
    </row>
    <row r="31" spans="1:2" x14ac:dyDescent="0.25">
      <c r="A31" s="25" t="s">
        <v>165</v>
      </c>
      <c r="B31" t="s">
        <v>166</v>
      </c>
    </row>
    <row r="32" spans="1:2" x14ac:dyDescent="0.25">
      <c r="A32" s="25" t="s">
        <v>167</v>
      </c>
      <c r="B32" t="s">
        <v>168</v>
      </c>
    </row>
    <row r="33" spans="1:2" x14ac:dyDescent="0.25">
      <c r="A33" s="25" t="s">
        <v>169</v>
      </c>
      <c r="B33" t="s">
        <v>170</v>
      </c>
    </row>
    <row r="34" spans="1:2" x14ac:dyDescent="0.25">
      <c r="A34" s="25" t="s">
        <v>171</v>
      </c>
      <c r="B34" t="s">
        <v>172</v>
      </c>
    </row>
    <row r="35" spans="1:2" x14ac:dyDescent="0.25">
      <c r="A35" s="25" t="s">
        <v>173</v>
      </c>
      <c r="B35" t="s">
        <v>174</v>
      </c>
    </row>
    <row r="36" spans="1:2" x14ac:dyDescent="0.25">
      <c r="A36" s="25" t="s">
        <v>175</v>
      </c>
      <c r="B36" t="s">
        <v>176</v>
      </c>
    </row>
    <row r="37" spans="1:2" x14ac:dyDescent="0.25">
      <c r="A37" s="25" t="s">
        <v>177</v>
      </c>
      <c r="B37" t="s">
        <v>178</v>
      </c>
    </row>
    <row r="38" spans="1:2" x14ac:dyDescent="0.25">
      <c r="A38" s="25" t="s">
        <v>179</v>
      </c>
      <c r="B38" t="s">
        <v>180</v>
      </c>
    </row>
    <row r="39" spans="1:2" x14ac:dyDescent="0.25">
      <c r="A39" s="25" t="s">
        <v>181</v>
      </c>
      <c r="B39" t="s">
        <v>182</v>
      </c>
    </row>
    <row r="40" spans="1:2" x14ac:dyDescent="0.25">
      <c r="A40" s="25" t="s">
        <v>183</v>
      </c>
      <c r="B40" t="s">
        <v>184</v>
      </c>
    </row>
    <row r="41" spans="1:2" x14ac:dyDescent="0.25">
      <c r="A41" s="25" t="s">
        <v>185</v>
      </c>
      <c r="B41" t="s">
        <v>186</v>
      </c>
    </row>
    <row r="42" spans="1:2" x14ac:dyDescent="0.25">
      <c r="A42" s="25" t="s">
        <v>187</v>
      </c>
      <c r="B42" t="s">
        <v>188</v>
      </c>
    </row>
    <row r="43" spans="1:2" x14ac:dyDescent="0.25">
      <c r="A43" s="25" t="s">
        <v>189</v>
      </c>
      <c r="B43" t="s">
        <v>190</v>
      </c>
    </row>
    <row r="44" spans="1:2" x14ac:dyDescent="0.25">
      <c r="A44" s="25" t="s">
        <v>191</v>
      </c>
      <c r="B44" t="s">
        <v>192</v>
      </c>
    </row>
    <row r="45" spans="1:2" x14ac:dyDescent="0.25">
      <c r="A45" s="25" t="s">
        <v>193</v>
      </c>
      <c r="B45" t="s">
        <v>194</v>
      </c>
    </row>
    <row r="46" spans="1:2" x14ac:dyDescent="0.25">
      <c r="A46" s="25" t="s">
        <v>195</v>
      </c>
      <c r="B46" t="s">
        <v>196</v>
      </c>
    </row>
    <row r="47" spans="1:2" x14ac:dyDescent="0.25">
      <c r="A47" s="25" t="s">
        <v>197</v>
      </c>
      <c r="B47" t="s">
        <v>198</v>
      </c>
    </row>
    <row r="48" spans="1:2" x14ac:dyDescent="0.25">
      <c r="A48" s="25" t="s">
        <v>199</v>
      </c>
      <c r="B48" t="s">
        <v>200</v>
      </c>
    </row>
    <row r="49" spans="1:2" x14ac:dyDescent="0.25">
      <c r="A49" s="25" t="s">
        <v>201</v>
      </c>
      <c r="B49" t="s">
        <v>202</v>
      </c>
    </row>
    <row r="50" spans="1:2" x14ac:dyDescent="0.25">
      <c r="A50" s="25" t="s">
        <v>203</v>
      </c>
      <c r="B50" t="s">
        <v>204</v>
      </c>
    </row>
    <row r="51" spans="1:2" x14ac:dyDescent="0.25">
      <c r="A51" s="25" t="s">
        <v>205</v>
      </c>
      <c r="B51" t="s">
        <v>206</v>
      </c>
    </row>
    <row r="52" spans="1:2" x14ac:dyDescent="0.25">
      <c r="A52" s="26" t="s">
        <v>207</v>
      </c>
      <c r="B52" t="s">
        <v>208</v>
      </c>
    </row>
    <row r="53" spans="1:2" x14ac:dyDescent="0.25">
      <c r="A53" s="26" t="s">
        <v>209</v>
      </c>
      <c r="B53" t="s">
        <v>210</v>
      </c>
    </row>
    <row r="54" spans="1:2" x14ac:dyDescent="0.25">
      <c r="A54" s="25" t="s">
        <v>211</v>
      </c>
      <c r="B54" t="s">
        <v>212</v>
      </c>
    </row>
    <row r="55" spans="1:2" x14ac:dyDescent="0.25">
      <c r="A55" s="25" t="s">
        <v>213</v>
      </c>
      <c r="B55" t="s">
        <v>214</v>
      </c>
    </row>
    <row r="56" spans="1:2" x14ac:dyDescent="0.25">
      <c r="A56" s="25" t="s">
        <v>215</v>
      </c>
      <c r="B56" t="s">
        <v>216</v>
      </c>
    </row>
    <row r="57" spans="1:2" x14ac:dyDescent="0.25">
      <c r="A57" s="25" t="s">
        <v>217</v>
      </c>
      <c r="B57" t="s">
        <v>218</v>
      </c>
    </row>
    <row r="58" spans="1:2" x14ac:dyDescent="0.25">
      <c r="A58" s="25" t="s">
        <v>219</v>
      </c>
      <c r="B58" t="s">
        <v>220</v>
      </c>
    </row>
    <row r="59" spans="1:2" x14ac:dyDescent="0.25">
      <c r="A59" s="25" t="s">
        <v>221</v>
      </c>
      <c r="B59" t="s">
        <v>222</v>
      </c>
    </row>
    <row r="60" spans="1:2" x14ac:dyDescent="0.25">
      <c r="A60" s="25" t="s">
        <v>223</v>
      </c>
      <c r="B60" t="s">
        <v>224</v>
      </c>
    </row>
    <row r="61" spans="1:2" x14ac:dyDescent="0.25">
      <c r="A61" s="25" t="s">
        <v>225</v>
      </c>
      <c r="B61" t="s">
        <v>226</v>
      </c>
    </row>
    <row r="62" spans="1:2" x14ac:dyDescent="0.25">
      <c r="A62" s="25" t="s">
        <v>227</v>
      </c>
      <c r="B62" t="s">
        <v>128</v>
      </c>
    </row>
    <row r="63" spans="1:2" x14ac:dyDescent="0.25">
      <c r="A63" s="25" t="s">
        <v>228</v>
      </c>
      <c r="B63" t="s">
        <v>92</v>
      </c>
    </row>
    <row r="64" spans="1:2" x14ac:dyDescent="0.25">
      <c r="A64" s="25" t="s">
        <v>229</v>
      </c>
      <c r="B64" t="s">
        <v>230</v>
      </c>
    </row>
    <row r="65" spans="1:2" x14ac:dyDescent="0.25">
      <c r="A65" s="25" t="s">
        <v>231</v>
      </c>
      <c r="B65" t="s">
        <v>232</v>
      </c>
    </row>
    <row r="66" spans="1:2" x14ac:dyDescent="0.25">
      <c r="A66" s="25" t="s">
        <v>233</v>
      </c>
      <c r="B66" s="28" t="s">
        <v>234</v>
      </c>
    </row>
    <row r="67" spans="1:2" x14ac:dyDescent="0.25">
      <c r="A67" s="25" t="s">
        <v>235</v>
      </c>
      <c r="B67" t="s">
        <v>236</v>
      </c>
    </row>
    <row r="68" spans="1:2" x14ac:dyDescent="0.25">
      <c r="A68" s="25" t="s">
        <v>237</v>
      </c>
      <c r="B68" t="s">
        <v>238</v>
      </c>
    </row>
    <row r="69" spans="1:2" x14ac:dyDescent="0.25">
      <c r="A69" s="25" t="s">
        <v>239</v>
      </c>
      <c r="B69" t="s">
        <v>240</v>
      </c>
    </row>
    <row r="70" spans="1:2" x14ac:dyDescent="0.25">
      <c r="A70" s="25" t="s">
        <v>241</v>
      </c>
      <c r="B70" t="s">
        <v>242</v>
      </c>
    </row>
    <row r="71" spans="1:2" x14ac:dyDescent="0.25">
      <c r="A71" s="26" t="s">
        <v>243</v>
      </c>
      <c r="B71" t="s">
        <v>244</v>
      </c>
    </row>
    <row r="72" spans="1:2" x14ac:dyDescent="0.25">
      <c r="A72" s="26" t="s">
        <v>245</v>
      </c>
      <c r="B72" t="s">
        <v>246</v>
      </c>
    </row>
    <row r="73" spans="1:2" x14ac:dyDescent="0.25">
      <c r="A73" s="26" t="s">
        <v>247</v>
      </c>
      <c r="B73" t="s">
        <v>248</v>
      </c>
    </row>
    <row r="74" spans="1:2" x14ac:dyDescent="0.25">
      <c r="A74" s="25" t="s">
        <v>249</v>
      </c>
      <c r="B74" t="s">
        <v>250</v>
      </c>
    </row>
    <row r="75" spans="1:2" x14ac:dyDescent="0.25">
      <c r="A75" s="25" t="s">
        <v>251</v>
      </c>
      <c r="B75" t="s">
        <v>252</v>
      </c>
    </row>
    <row r="76" spans="1:2" x14ac:dyDescent="0.25">
      <c r="A76" s="25" t="s">
        <v>253</v>
      </c>
      <c r="B76" t="s">
        <v>254</v>
      </c>
    </row>
    <row r="77" spans="1:2" x14ac:dyDescent="0.25">
      <c r="A77" s="25" t="s">
        <v>255</v>
      </c>
      <c r="B77" t="s">
        <v>256</v>
      </c>
    </row>
    <row r="78" spans="1:2" x14ac:dyDescent="0.25">
      <c r="A78" s="25" t="s">
        <v>257</v>
      </c>
      <c r="B78" t="s">
        <v>258</v>
      </c>
    </row>
    <row r="79" spans="1:2" x14ac:dyDescent="0.25">
      <c r="A79" s="25" t="s">
        <v>259</v>
      </c>
      <c r="B79" t="s">
        <v>260</v>
      </c>
    </row>
    <row r="80" spans="1:2" x14ac:dyDescent="0.25">
      <c r="A80" s="25" t="s">
        <v>261</v>
      </c>
      <c r="B80" t="s">
        <v>262</v>
      </c>
    </row>
    <row r="81" spans="1:2" x14ac:dyDescent="0.25">
      <c r="A81" s="25" t="s">
        <v>263</v>
      </c>
      <c r="B81" t="s">
        <v>264</v>
      </c>
    </row>
    <row r="82" spans="1:2" x14ac:dyDescent="0.25">
      <c r="A82" s="25" t="s">
        <v>265</v>
      </c>
      <c r="B82" t="s">
        <v>266</v>
      </c>
    </row>
    <row r="83" spans="1:2" x14ac:dyDescent="0.25">
      <c r="A83" s="25" t="s">
        <v>267</v>
      </c>
      <c r="B83" t="s">
        <v>268</v>
      </c>
    </row>
    <row r="84" spans="1:2" x14ac:dyDescent="0.25">
      <c r="A84" s="25" t="s">
        <v>269</v>
      </c>
      <c r="B84" t="s">
        <v>270</v>
      </c>
    </row>
    <row r="85" spans="1:2" x14ac:dyDescent="0.25">
      <c r="A85" s="25" t="s">
        <v>271</v>
      </c>
      <c r="B85" t="s">
        <v>272</v>
      </c>
    </row>
    <row r="86" spans="1:2" x14ac:dyDescent="0.25">
      <c r="A86" s="25" t="s">
        <v>273</v>
      </c>
      <c r="B86" t="s">
        <v>274</v>
      </c>
    </row>
    <row r="87" spans="1:2" x14ac:dyDescent="0.25">
      <c r="A87" s="25" t="s">
        <v>275</v>
      </c>
      <c r="B87" t="s">
        <v>276</v>
      </c>
    </row>
    <row r="88" spans="1:2" x14ac:dyDescent="0.25">
      <c r="A88" s="25" t="s">
        <v>277</v>
      </c>
      <c r="B88" t="s">
        <v>278</v>
      </c>
    </row>
    <row r="89" spans="1:2" x14ac:dyDescent="0.25">
      <c r="A89" s="25" t="s">
        <v>279</v>
      </c>
      <c r="B89" t="s">
        <v>274</v>
      </c>
    </row>
    <row r="90" spans="1:2" x14ac:dyDescent="0.25">
      <c r="A90" s="25" t="s">
        <v>280</v>
      </c>
      <c r="B90" t="s">
        <v>281</v>
      </c>
    </row>
    <row r="91" spans="1:2" x14ac:dyDescent="0.25">
      <c r="A91" s="25" t="s">
        <v>282</v>
      </c>
      <c r="B91" t="s">
        <v>170</v>
      </c>
    </row>
    <row r="92" spans="1:2" x14ac:dyDescent="0.25">
      <c r="A92" s="25" t="s">
        <v>283</v>
      </c>
      <c r="B92" t="s">
        <v>284</v>
      </c>
    </row>
    <row r="93" spans="1:2" x14ac:dyDescent="0.25">
      <c r="A93" s="25" t="s">
        <v>285</v>
      </c>
      <c r="B93" t="s">
        <v>286</v>
      </c>
    </row>
    <row r="94" spans="1:2" x14ac:dyDescent="0.25">
      <c r="A94" s="25" t="s">
        <v>287</v>
      </c>
      <c r="B94" t="s">
        <v>288</v>
      </c>
    </row>
    <row r="95" spans="1:2" x14ac:dyDescent="0.25">
      <c r="A95" s="25" t="s">
        <v>289</v>
      </c>
      <c r="B95" t="s">
        <v>281</v>
      </c>
    </row>
    <row r="96" spans="1:2" x14ac:dyDescent="0.25">
      <c r="A96" s="25" t="s">
        <v>290</v>
      </c>
      <c r="B96" t="s">
        <v>170</v>
      </c>
    </row>
    <row r="97" spans="1:2" x14ac:dyDescent="0.25">
      <c r="A97" s="25" t="s">
        <v>291</v>
      </c>
      <c r="B97" t="s">
        <v>284</v>
      </c>
    </row>
    <row r="98" spans="1:2" x14ac:dyDescent="0.25">
      <c r="A98" s="25" t="s">
        <v>292</v>
      </c>
      <c r="B98" t="s">
        <v>293</v>
      </c>
    </row>
    <row r="99" spans="1:2" x14ac:dyDescent="0.25">
      <c r="A99" s="25" t="s">
        <v>294</v>
      </c>
      <c r="B99" t="s">
        <v>295</v>
      </c>
    </row>
    <row r="100" spans="1:2" x14ac:dyDescent="0.25">
      <c r="A100" s="25" t="s">
        <v>296</v>
      </c>
      <c r="B100" t="s">
        <v>297</v>
      </c>
    </row>
    <row r="101" spans="1:2" x14ac:dyDescent="0.25">
      <c r="A101" s="25" t="s">
        <v>298</v>
      </c>
      <c r="B101" t="s">
        <v>299</v>
      </c>
    </row>
    <row r="102" spans="1:2" x14ac:dyDescent="0.25">
      <c r="A102" s="25" t="s">
        <v>300</v>
      </c>
      <c r="B102" t="s">
        <v>301</v>
      </c>
    </row>
    <row r="103" spans="1:2" x14ac:dyDescent="0.25">
      <c r="A103" s="26" t="s">
        <v>302</v>
      </c>
      <c r="B103" t="s">
        <v>303</v>
      </c>
    </row>
    <row r="104" spans="1:2" x14ac:dyDescent="0.25">
      <c r="A104" s="26" t="s">
        <v>304</v>
      </c>
      <c r="B104" t="s">
        <v>284</v>
      </c>
    </row>
    <row r="105" spans="1:2" x14ac:dyDescent="0.25">
      <c r="A105" s="26" t="s">
        <v>305</v>
      </c>
      <c r="B105" t="s">
        <v>306</v>
      </c>
    </row>
    <row r="106" spans="1:2" x14ac:dyDescent="0.25">
      <c r="A106" s="26" t="s">
        <v>307</v>
      </c>
      <c r="B106" t="s">
        <v>308</v>
      </c>
    </row>
    <row r="107" spans="1:2" x14ac:dyDescent="0.25">
      <c r="A107" s="26" t="s">
        <v>309</v>
      </c>
      <c r="B107" t="s">
        <v>310</v>
      </c>
    </row>
    <row r="108" spans="1:2" x14ac:dyDescent="0.25">
      <c r="A108" s="26" t="s">
        <v>311</v>
      </c>
      <c r="B108" t="s">
        <v>312</v>
      </c>
    </row>
    <row r="109" spans="1:2" x14ac:dyDescent="0.25">
      <c r="A109" s="25" t="s">
        <v>313</v>
      </c>
      <c r="B109" t="s">
        <v>314</v>
      </c>
    </row>
    <row r="110" spans="1:2" x14ac:dyDescent="0.25">
      <c r="A110" s="25" t="s">
        <v>315</v>
      </c>
      <c r="B110" t="s">
        <v>316</v>
      </c>
    </row>
    <row r="111" spans="1:2" x14ac:dyDescent="0.25">
      <c r="A111" s="25" t="s">
        <v>317</v>
      </c>
      <c r="B111" t="s">
        <v>318</v>
      </c>
    </row>
    <row r="112" spans="1:2" x14ac:dyDescent="0.25">
      <c r="A112" s="26" t="s">
        <v>319</v>
      </c>
      <c r="B112" t="s">
        <v>320</v>
      </c>
    </row>
    <row r="113" spans="1:2" x14ac:dyDescent="0.25">
      <c r="A113" s="26" t="s">
        <v>321</v>
      </c>
      <c r="B113" t="s">
        <v>322</v>
      </c>
    </row>
    <row r="114" spans="1:2" x14ac:dyDescent="0.25">
      <c r="A114" s="26" t="s">
        <v>323</v>
      </c>
      <c r="B114" t="s">
        <v>324</v>
      </c>
    </row>
    <row r="115" spans="1:2" x14ac:dyDescent="0.25">
      <c r="A115" s="25" t="s">
        <v>325</v>
      </c>
      <c r="B115" t="s">
        <v>326</v>
      </c>
    </row>
    <row r="116" spans="1:2" x14ac:dyDescent="0.25">
      <c r="A116" s="25" t="s">
        <v>327</v>
      </c>
      <c r="B116" t="s">
        <v>328</v>
      </c>
    </row>
    <row r="117" spans="1:2" x14ac:dyDescent="0.25">
      <c r="A117" s="25" t="s">
        <v>329</v>
      </c>
      <c r="B117" t="s">
        <v>330</v>
      </c>
    </row>
    <row r="118" spans="1:2" x14ac:dyDescent="0.25">
      <c r="A118" s="25" t="s">
        <v>331</v>
      </c>
      <c r="B118" t="s">
        <v>332</v>
      </c>
    </row>
    <row r="119" spans="1:2" x14ac:dyDescent="0.25">
      <c r="A119" s="25" t="s">
        <v>333</v>
      </c>
      <c r="B119" t="s">
        <v>334</v>
      </c>
    </row>
    <row r="120" spans="1:2" x14ac:dyDescent="0.25">
      <c r="A120" s="26" t="s">
        <v>335</v>
      </c>
      <c r="B120" t="s">
        <v>336</v>
      </c>
    </row>
    <row r="121" spans="1:2" x14ac:dyDescent="0.25">
      <c r="A121" s="26" t="s">
        <v>337</v>
      </c>
      <c r="B121" t="s">
        <v>338</v>
      </c>
    </row>
    <row r="122" spans="1:2" x14ac:dyDescent="0.25">
      <c r="A122" s="25" t="s">
        <v>339</v>
      </c>
      <c r="B122" t="s">
        <v>340</v>
      </c>
    </row>
    <row r="123" spans="1:2" x14ac:dyDescent="0.25">
      <c r="A123" s="25" t="s">
        <v>341</v>
      </c>
      <c r="B123" t="s">
        <v>342</v>
      </c>
    </row>
    <row r="124" spans="1:2" x14ac:dyDescent="0.25">
      <c r="A124" s="25" t="s">
        <v>343</v>
      </c>
      <c r="B124" t="s">
        <v>344</v>
      </c>
    </row>
    <row r="125" spans="1:2" x14ac:dyDescent="0.25">
      <c r="A125" s="25" t="s">
        <v>345</v>
      </c>
      <c r="B125" t="s">
        <v>346</v>
      </c>
    </row>
    <row r="126" spans="1:2" x14ac:dyDescent="0.25">
      <c r="A126" s="25" t="s">
        <v>347</v>
      </c>
      <c r="B126" t="s">
        <v>348</v>
      </c>
    </row>
    <row r="127" spans="1:2" x14ac:dyDescent="0.25">
      <c r="A127" s="25" t="s">
        <v>349</v>
      </c>
      <c r="B127" t="s">
        <v>350</v>
      </c>
    </row>
    <row r="128" spans="1:2" x14ac:dyDescent="0.25">
      <c r="A128" s="25" t="s">
        <v>351</v>
      </c>
      <c r="B128" t="s">
        <v>352</v>
      </c>
    </row>
    <row r="129" spans="1:2" x14ac:dyDescent="0.25">
      <c r="A129" s="25" t="s">
        <v>353</v>
      </c>
      <c r="B129" t="s">
        <v>354</v>
      </c>
    </row>
    <row r="130" spans="1:2" x14ac:dyDescent="0.25">
      <c r="A130" s="25" t="s">
        <v>355</v>
      </c>
      <c r="B130" t="s">
        <v>274</v>
      </c>
    </row>
    <row r="131" spans="1:2" x14ac:dyDescent="0.25">
      <c r="A131" s="25" t="s">
        <v>356</v>
      </c>
      <c r="B131" t="s">
        <v>357</v>
      </c>
    </row>
    <row r="132" spans="1:2" x14ac:dyDescent="0.25">
      <c r="A132" s="25" t="s">
        <v>358</v>
      </c>
      <c r="B132" t="s">
        <v>359</v>
      </c>
    </row>
    <row r="133" spans="1:2" x14ac:dyDescent="0.25">
      <c r="A133" s="25" t="s">
        <v>360</v>
      </c>
      <c r="B133" t="s">
        <v>354</v>
      </c>
    </row>
    <row r="134" spans="1:2" x14ac:dyDescent="0.25">
      <c r="A134" s="25" t="s">
        <v>361</v>
      </c>
      <c r="B134" t="s">
        <v>274</v>
      </c>
    </row>
    <row r="135" spans="1:2" x14ac:dyDescent="0.25">
      <c r="A135" s="25" t="s">
        <v>362</v>
      </c>
      <c r="B135" t="s">
        <v>350</v>
      </c>
    </row>
    <row r="136" spans="1:2" x14ac:dyDescent="0.25">
      <c r="A136" s="25" t="s">
        <v>363</v>
      </c>
      <c r="B136" t="s">
        <v>364</v>
      </c>
    </row>
    <row r="137" spans="1:2" x14ac:dyDescent="0.25">
      <c r="A137" s="25" t="s">
        <v>365</v>
      </c>
      <c r="B137" t="s">
        <v>354</v>
      </c>
    </row>
    <row r="138" spans="1:2" x14ac:dyDescent="0.25">
      <c r="A138" s="25" t="s">
        <v>366</v>
      </c>
      <c r="B138" t="s">
        <v>274</v>
      </c>
    </row>
    <row r="139" spans="1:2" x14ac:dyDescent="0.25">
      <c r="A139" s="25" t="s">
        <v>367</v>
      </c>
      <c r="B139" t="s">
        <v>368</v>
      </c>
    </row>
    <row r="140" spans="1:2" x14ac:dyDescent="0.25">
      <c r="A140" s="25" t="s">
        <v>369</v>
      </c>
      <c r="B140" t="s">
        <v>370</v>
      </c>
    </row>
    <row r="141" spans="1:2" x14ac:dyDescent="0.25">
      <c r="A141" s="25" t="s">
        <v>371</v>
      </c>
      <c r="B141" t="s">
        <v>372</v>
      </c>
    </row>
    <row r="142" spans="1:2" x14ac:dyDescent="0.25">
      <c r="A142" s="25" t="s">
        <v>373</v>
      </c>
      <c r="B142" t="s">
        <v>374</v>
      </c>
    </row>
    <row r="143" spans="1:2" x14ac:dyDescent="0.25">
      <c r="A143" s="25" t="s">
        <v>375</v>
      </c>
      <c r="B143" t="s">
        <v>376</v>
      </c>
    </row>
    <row r="144" spans="1:2" x14ac:dyDescent="0.25">
      <c r="A144" s="25" t="s">
        <v>377</v>
      </c>
      <c r="B144" t="s">
        <v>378</v>
      </c>
    </row>
    <row r="145" spans="1:2" x14ac:dyDescent="0.25">
      <c r="A145" s="25" t="s">
        <v>379</v>
      </c>
      <c r="B145" t="s">
        <v>380</v>
      </c>
    </row>
    <row r="146" spans="1:2" x14ac:dyDescent="0.25">
      <c r="A146" s="25" t="s">
        <v>381</v>
      </c>
      <c r="B146" t="s">
        <v>382</v>
      </c>
    </row>
    <row r="147" spans="1:2" x14ac:dyDescent="0.25">
      <c r="A147" s="25" t="s">
        <v>383</v>
      </c>
      <c r="B147" t="s">
        <v>384</v>
      </c>
    </row>
    <row r="148" spans="1:2" x14ac:dyDescent="0.25">
      <c r="A148" s="25" t="s">
        <v>385</v>
      </c>
      <c r="B148" t="s">
        <v>386</v>
      </c>
    </row>
    <row r="149" spans="1:2" x14ac:dyDescent="0.25">
      <c r="A149" s="25" t="s">
        <v>387</v>
      </c>
      <c r="B149" t="s">
        <v>388</v>
      </c>
    </row>
    <row r="150" spans="1:2" x14ac:dyDescent="0.25">
      <c r="A150" s="25" t="s">
        <v>389</v>
      </c>
      <c r="B150" t="s">
        <v>390</v>
      </c>
    </row>
    <row r="151" spans="1:2" x14ac:dyDescent="0.25">
      <c r="A151" s="25" t="s">
        <v>391</v>
      </c>
      <c r="B151" t="s">
        <v>392</v>
      </c>
    </row>
    <row r="152" spans="1:2" x14ac:dyDescent="0.25">
      <c r="A152" s="25" t="s">
        <v>393</v>
      </c>
      <c r="B152" t="s">
        <v>394</v>
      </c>
    </row>
    <row r="153" spans="1:2" x14ac:dyDescent="0.25">
      <c r="A153" s="25" t="s">
        <v>395</v>
      </c>
      <c r="B153" t="s">
        <v>396</v>
      </c>
    </row>
    <row r="154" spans="1:2" x14ac:dyDescent="0.25">
      <c r="A154" s="25" t="s">
        <v>397</v>
      </c>
      <c r="B154" t="s">
        <v>398</v>
      </c>
    </row>
    <row r="155" spans="1:2" x14ac:dyDescent="0.25">
      <c r="A155" s="25" t="s">
        <v>399</v>
      </c>
      <c r="B155" t="s">
        <v>400</v>
      </c>
    </row>
    <row r="156" spans="1:2" x14ac:dyDescent="0.25">
      <c r="A156" s="25" t="s">
        <v>401</v>
      </c>
      <c r="B156" t="s">
        <v>402</v>
      </c>
    </row>
    <row r="157" spans="1:2" x14ac:dyDescent="0.25">
      <c r="A157" s="26" t="s">
        <v>403</v>
      </c>
      <c r="B157" t="s">
        <v>404</v>
      </c>
    </row>
    <row r="158" spans="1:2" x14ac:dyDescent="0.25">
      <c r="A158" s="26" t="s">
        <v>405</v>
      </c>
      <c r="B158" t="s">
        <v>406</v>
      </c>
    </row>
    <row r="159" spans="1:2" x14ac:dyDescent="0.25">
      <c r="A159" s="26" t="s">
        <v>407</v>
      </c>
      <c r="B159" t="s">
        <v>408</v>
      </c>
    </row>
    <row r="160" spans="1:2" x14ac:dyDescent="0.25">
      <c r="A160" s="26" t="s">
        <v>409</v>
      </c>
      <c r="B160" t="s">
        <v>274</v>
      </c>
    </row>
    <row r="161" spans="1:2" x14ac:dyDescent="0.25">
      <c r="A161" s="25" t="s">
        <v>410</v>
      </c>
      <c r="B161" t="s">
        <v>94</v>
      </c>
    </row>
    <row r="162" spans="1:2" x14ac:dyDescent="0.25">
      <c r="A162" s="25" t="s">
        <v>411</v>
      </c>
      <c r="B162" t="s">
        <v>412</v>
      </c>
    </row>
    <row r="163" spans="1:2" x14ac:dyDescent="0.25">
      <c r="A163" s="25" t="s">
        <v>413</v>
      </c>
      <c r="B163" t="s">
        <v>414</v>
      </c>
    </row>
    <row r="164" spans="1:2" x14ac:dyDescent="0.25">
      <c r="A164" s="25" t="s">
        <v>415</v>
      </c>
      <c r="B164" t="s">
        <v>416</v>
      </c>
    </row>
    <row r="165" spans="1:2" x14ac:dyDescent="0.25">
      <c r="A165" s="25" t="s">
        <v>417</v>
      </c>
      <c r="B165" t="s">
        <v>418</v>
      </c>
    </row>
    <row r="166" spans="1:2" x14ac:dyDescent="0.25">
      <c r="A166" s="25" t="s">
        <v>419</v>
      </c>
      <c r="B166" t="s">
        <v>420</v>
      </c>
    </row>
    <row r="167" spans="1:2" x14ac:dyDescent="0.25">
      <c r="A167" s="25" t="s">
        <v>421</v>
      </c>
      <c r="B167" t="s">
        <v>422</v>
      </c>
    </row>
    <row r="168" spans="1:2" x14ac:dyDescent="0.25">
      <c r="A168" s="26" t="s">
        <v>423</v>
      </c>
      <c r="B168" t="s">
        <v>424</v>
      </c>
    </row>
    <row r="169" spans="1:2" x14ac:dyDescent="0.25">
      <c r="A169" s="25" t="s">
        <v>425</v>
      </c>
      <c r="B169" t="s">
        <v>426</v>
      </c>
    </row>
    <row r="170" spans="1:2" x14ac:dyDescent="0.25">
      <c r="A170" s="25" t="s">
        <v>427</v>
      </c>
      <c r="B170" t="s">
        <v>428</v>
      </c>
    </row>
    <row r="171" spans="1:2" x14ac:dyDescent="0.25">
      <c r="A171" s="25" t="s">
        <v>429</v>
      </c>
      <c r="B171" t="s">
        <v>430</v>
      </c>
    </row>
    <row r="172" spans="1:2" x14ac:dyDescent="0.25">
      <c r="A172" s="25" t="s">
        <v>431</v>
      </c>
      <c r="B172" t="s">
        <v>432</v>
      </c>
    </row>
    <row r="173" spans="1:2" x14ac:dyDescent="0.25">
      <c r="A173" s="25" t="s">
        <v>433</v>
      </c>
      <c r="B173" t="s">
        <v>434</v>
      </c>
    </row>
    <row r="174" spans="1:2" x14ac:dyDescent="0.25">
      <c r="A174" s="25" t="s">
        <v>435</v>
      </c>
      <c r="B174" t="s">
        <v>436</v>
      </c>
    </row>
    <row r="175" spans="1:2" x14ac:dyDescent="0.25">
      <c r="A175" s="25" t="s">
        <v>437</v>
      </c>
      <c r="B175" t="s">
        <v>438</v>
      </c>
    </row>
    <row r="176" spans="1:2" x14ac:dyDescent="0.25">
      <c r="A176" s="25" t="s">
        <v>439</v>
      </c>
      <c r="B176" t="s">
        <v>440</v>
      </c>
    </row>
    <row r="177" spans="1:2" x14ac:dyDescent="0.25">
      <c r="A177" s="25" t="s">
        <v>441</v>
      </c>
      <c r="B177" t="s">
        <v>442</v>
      </c>
    </row>
    <row r="178" spans="1:2" x14ac:dyDescent="0.25">
      <c r="A178" s="25" t="s">
        <v>443</v>
      </c>
      <c r="B178" t="s">
        <v>342</v>
      </c>
    </row>
    <row r="179" spans="1:2" x14ac:dyDescent="0.25">
      <c r="A179" s="25" t="s">
        <v>444</v>
      </c>
      <c r="B179" t="s">
        <v>445</v>
      </c>
    </row>
    <row r="180" spans="1:2" x14ac:dyDescent="0.25">
      <c r="A180" s="25" t="s">
        <v>446</v>
      </c>
      <c r="B180" t="s">
        <v>447</v>
      </c>
    </row>
    <row r="181" spans="1:2" x14ac:dyDescent="0.25">
      <c r="A181" s="25" t="s">
        <v>448</v>
      </c>
      <c r="B181" t="s">
        <v>449</v>
      </c>
    </row>
    <row r="182" spans="1:2" x14ac:dyDescent="0.25">
      <c r="A182" s="25" t="s">
        <v>450</v>
      </c>
      <c r="B182" t="s">
        <v>451</v>
      </c>
    </row>
    <row r="183" spans="1:2" x14ac:dyDescent="0.25">
      <c r="A183" s="26" t="s">
        <v>452</v>
      </c>
      <c r="B183" t="s">
        <v>453</v>
      </c>
    </row>
    <row r="184" spans="1:2" x14ac:dyDescent="0.25">
      <c r="A184" s="26" t="s">
        <v>454</v>
      </c>
      <c r="B184" t="s">
        <v>455</v>
      </c>
    </row>
    <row r="185" spans="1:2" s="27" customFormat="1" x14ac:dyDescent="0.25">
      <c r="A185" s="25" t="s">
        <v>456</v>
      </c>
      <c r="B185" t="s">
        <v>457</v>
      </c>
    </row>
    <row r="186" spans="1:2" x14ac:dyDescent="0.25">
      <c r="A186" s="25" t="s">
        <v>458</v>
      </c>
      <c r="B186" t="s">
        <v>459</v>
      </c>
    </row>
    <row r="187" spans="1:2" x14ac:dyDescent="0.25">
      <c r="A187" s="25" t="s">
        <v>460</v>
      </c>
      <c r="B187" t="s">
        <v>461</v>
      </c>
    </row>
    <row r="188" spans="1:2" x14ac:dyDescent="0.25">
      <c r="A188" s="25" t="s">
        <v>462</v>
      </c>
      <c r="B188" t="s">
        <v>463</v>
      </c>
    </row>
    <row r="189" spans="1:2" x14ac:dyDescent="0.25">
      <c r="A189" s="25" t="s">
        <v>464</v>
      </c>
      <c r="B189" t="s">
        <v>465</v>
      </c>
    </row>
    <row r="190" spans="1:2" x14ac:dyDescent="0.25">
      <c r="A190" s="25" t="s">
        <v>466</v>
      </c>
      <c r="B190" t="s">
        <v>467</v>
      </c>
    </row>
    <row r="191" spans="1:2" x14ac:dyDescent="0.25">
      <c r="A191" s="25" t="s">
        <v>468</v>
      </c>
      <c r="B191" t="s">
        <v>469</v>
      </c>
    </row>
    <row r="192" spans="1:2" x14ac:dyDescent="0.25">
      <c r="A192" s="25" t="s">
        <v>470</v>
      </c>
      <c r="B192" t="s">
        <v>471</v>
      </c>
    </row>
    <row r="193" spans="1:2" x14ac:dyDescent="0.25">
      <c r="A193" s="25" t="s">
        <v>472</v>
      </c>
      <c r="B193" t="s">
        <v>473</v>
      </c>
    </row>
    <row r="194" spans="1:2" x14ac:dyDescent="0.25">
      <c r="A194" s="25" t="s">
        <v>474</v>
      </c>
      <c r="B194" t="s">
        <v>475</v>
      </c>
    </row>
    <row r="195" spans="1:2" x14ac:dyDescent="0.25">
      <c r="A195" s="25" t="s">
        <v>476</v>
      </c>
      <c r="B195" t="s">
        <v>477</v>
      </c>
    </row>
    <row r="196" spans="1:2" x14ac:dyDescent="0.25">
      <c r="A196" s="25" t="s">
        <v>478</v>
      </c>
      <c r="B196" t="s">
        <v>479</v>
      </c>
    </row>
    <row r="197" spans="1:2" x14ac:dyDescent="0.25">
      <c r="A197" s="25" t="s">
        <v>480</v>
      </c>
      <c r="B197" t="s">
        <v>481</v>
      </c>
    </row>
    <row r="198" spans="1:2" x14ac:dyDescent="0.25">
      <c r="A198" s="25" t="s">
        <v>482</v>
      </c>
    </row>
    <row r="199" spans="1:2" x14ac:dyDescent="0.25">
      <c r="A199" s="25" t="s">
        <v>483</v>
      </c>
      <c r="B199" t="s">
        <v>484</v>
      </c>
    </row>
    <row r="200" spans="1:2" x14ac:dyDescent="0.25">
      <c r="A200" s="25" t="s">
        <v>485</v>
      </c>
      <c r="B200" t="s">
        <v>486</v>
      </c>
    </row>
    <row r="201" spans="1:2" x14ac:dyDescent="0.25">
      <c r="A201" s="25" t="s">
        <v>487</v>
      </c>
      <c r="B201" t="s">
        <v>488</v>
      </c>
    </row>
    <row r="202" spans="1:2" x14ac:dyDescent="0.25">
      <c r="A202" s="25" t="s">
        <v>489</v>
      </c>
      <c r="B202" t="s">
        <v>490</v>
      </c>
    </row>
    <row r="203" spans="1:2" x14ac:dyDescent="0.25">
      <c r="A203" s="25" t="s">
        <v>491</v>
      </c>
      <c r="B203" t="s">
        <v>492</v>
      </c>
    </row>
    <row r="204" spans="1:2" x14ac:dyDescent="0.25">
      <c r="A204" s="25" t="s">
        <v>493</v>
      </c>
      <c r="B204" t="s">
        <v>494</v>
      </c>
    </row>
    <row r="205" spans="1:2" x14ac:dyDescent="0.25">
      <c r="A205" s="25" t="s">
        <v>495</v>
      </c>
      <c r="B205" t="s">
        <v>496</v>
      </c>
    </row>
    <row r="206" spans="1:2" x14ac:dyDescent="0.25">
      <c r="A206" s="25" t="s">
        <v>497</v>
      </c>
      <c r="B206" t="s">
        <v>498</v>
      </c>
    </row>
    <row r="207" spans="1:2" x14ac:dyDescent="0.25">
      <c r="A207" s="25" t="s">
        <v>499</v>
      </c>
      <c r="B207" t="s">
        <v>274</v>
      </c>
    </row>
    <row r="208" spans="1:2" x14ac:dyDescent="0.25">
      <c r="A208" s="25" t="s">
        <v>500</v>
      </c>
      <c r="B208" t="s">
        <v>501</v>
      </c>
    </row>
    <row r="209" spans="1:2" x14ac:dyDescent="0.25">
      <c r="A209" s="25" t="s">
        <v>502</v>
      </c>
      <c r="B209" t="s">
        <v>503</v>
      </c>
    </row>
    <row r="210" spans="1:2" x14ac:dyDescent="0.25">
      <c r="A210" s="25" t="s">
        <v>504</v>
      </c>
      <c r="B210" t="s">
        <v>505</v>
      </c>
    </row>
    <row r="211" spans="1:2" x14ac:dyDescent="0.25">
      <c r="A211" s="26" t="s">
        <v>506</v>
      </c>
      <c r="B211" s="27" t="s">
        <v>507</v>
      </c>
    </row>
    <row r="212" spans="1:2" x14ac:dyDescent="0.25">
      <c r="A212" s="25" t="s">
        <v>508</v>
      </c>
      <c r="B212" t="s">
        <v>509</v>
      </c>
    </row>
    <row r="213" spans="1:2" x14ac:dyDescent="0.25">
      <c r="A213" s="25" t="s">
        <v>510</v>
      </c>
      <c r="B213" t="s">
        <v>511</v>
      </c>
    </row>
    <row r="214" spans="1:2" x14ac:dyDescent="0.25">
      <c r="A214" s="25" t="s">
        <v>512</v>
      </c>
      <c r="B214" t="s">
        <v>513</v>
      </c>
    </row>
    <row r="215" spans="1:2" x14ac:dyDescent="0.25">
      <c r="A215" s="25" t="s">
        <v>514</v>
      </c>
      <c r="B215" t="s">
        <v>515</v>
      </c>
    </row>
    <row r="216" spans="1:2" x14ac:dyDescent="0.25">
      <c r="A216" s="25" t="s">
        <v>516</v>
      </c>
      <c r="B216" t="s">
        <v>517</v>
      </c>
    </row>
    <row r="217" spans="1:2" x14ac:dyDescent="0.25">
      <c r="A217" s="25" t="s">
        <v>518</v>
      </c>
      <c r="B217" t="s">
        <v>519</v>
      </c>
    </row>
    <row r="218" spans="1:2" x14ac:dyDescent="0.25">
      <c r="A218" s="25" t="s">
        <v>520</v>
      </c>
      <c r="B218" t="s">
        <v>521</v>
      </c>
    </row>
    <row r="219" spans="1:2" x14ac:dyDescent="0.25">
      <c r="A219" s="25" t="s">
        <v>522</v>
      </c>
      <c r="B219" t="s">
        <v>523</v>
      </c>
    </row>
    <row r="220" spans="1:2" x14ac:dyDescent="0.25">
      <c r="A220" s="25" t="s">
        <v>524</v>
      </c>
      <c r="B220" t="s">
        <v>525</v>
      </c>
    </row>
    <row r="221" spans="1:2" x14ac:dyDescent="0.25">
      <c r="A221" s="25" t="s">
        <v>526</v>
      </c>
      <c r="B221" t="s">
        <v>527</v>
      </c>
    </row>
    <row r="222" spans="1:2" x14ac:dyDescent="0.25">
      <c r="A222" s="25" t="s">
        <v>528</v>
      </c>
      <c r="B222" t="s">
        <v>274</v>
      </c>
    </row>
    <row r="223" spans="1:2" x14ac:dyDescent="0.25">
      <c r="A223" s="25" t="s">
        <v>529</v>
      </c>
      <c r="B223" t="s">
        <v>530</v>
      </c>
    </row>
    <row r="224" spans="1:2" x14ac:dyDescent="0.25">
      <c r="A224" s="25" t="s">
        <v>531</v>
      </c>
      <c r="B224" t="s">
        <v>532</v>
      </c>
    </row>
    <row r="225" spans="1:2" x14ac:dyDescent="0.25">
      <c r="A225" s="25" t="s">
        <v>533</v>
      </c>
      <c r="B225" t="s">
        <v>534</v>
      </c>
    </row>
    <row r="226" spans="1:2" x14ac:dyDescent="0.25">
      <c r="A226" s="25" t="s">
        <v>535</v>
      </c>
      <c r="B226" t="s">
        <v>536</v>
      </c>
    </row>
    <row r="227" spans="1:2" x14ac:dyDescent="0.25">
      <c r="A227" s="25" t="s">
        <v>537</v>
      </c>
      <c r="B227" t="s">
        <v>538</v>
      </c>
    </row>
    <row r="228" spans="1:2" x14ac:dyDescent="0.25">
      <c r="A228" s="25" t="s">
        <v>539</v>
      </c>
      <c r="B228" t="s">
        <v>540</v>
      </c>
    </row>
    <row r="229" spans="1:2" x14ac:dyDescent="0.25">
      <c r="A229" s="25" t="s">
        <v>541</v>
      </c>
      <c r="B229" t="s">
        <v>542</v>
      </c>
    </row>
    <row r="230" spans="1:2" x14ac:dyDescent="0.25">
      <c r="A230" s="25" t="s">
        <v>543</v>
      </c>
      <c r="B230" t="s">
        <v>544</v>
      </c>
    </row>
    <row r="231" spans="1:2" x14ac:dyDescent="0.25">
      <c r="A231" s="25" t="s">
        <v>545</v>
      </c>
      <c r="B231" t="s">
        <v>546</v>
      </c>
    </row>
    <row r="232" spans="1:2" x14ac:dyDescent="0.25">
      <c r="A232" s="25" t="s">
        <v>547</v>
      </c>
      <c r="B232" t="s">
        <v>548</v>
      </c>
    </row>
    <row r="233" spans="1:2" x14ac:dyDescent="0.25">
      <c r="A233" s="25" t="s">
        <v>549</v>
      </c>
      <c r="B233" t="s">
        <v>550</v>
      </c>
    </row>
    <row r="234" spans="1:2" x14ac:dyDescent="0.25">
      <c r="A234" s="25" t="s">
        <v>551</v>
      </c>
      <c r="B234" t="s">
        <v>552</v>
      </c>
    </row>
    <row r="235" spans="1:2" x14ac:dyDescent="0.25">
      <c r="A235" s="25" t="s">
        <v>553</v>
      </c>
      <c r="B235" t="s">
        <v>554</v>
      </c>
    </row>
    <row r="236" spans="1:2" x14ac:dyDescent="0.25">
      <c r="A236" s="25" t="s">
        <v>555</v>
      </c>
      <c r="B236" t="s">
        <v>556</v>
      </c>
    </row>
    <row r="237" spans="1:2" x14ac:dyDescent="0.25">
      <c r="A237" s="25" t="s">
        <v>557</v>
      </c>
      <c r="B237" t="s">
        <v>558</v>
      </c>
    </row>
    <row r="238" spans="1:2" x14ac:dyDescent="0.25">
      <c r="A238" s="25" t="s">
        <v>559</v>
      </c>
      <c r="B238" t="s">
        <v>274</v>
      </c>
    </row>
    <row r="239" spans="1:2" x14ac:dyDescent="0.25">
      <c r="A239" s="25" t="s">
        <v>560</v>
      </c>
      <c r="B239" t="s">
        <v>561</v>
      </c>
    </row>
    <row r="240" spans="1:2" x14ac:dyDescent="0.25">
      <c r="A240" s="25" t="s">
        <v>562</v>
      </c>
      <c r="B240" t="s">
        <v>563</v>
      </c>
    </row>
    <row r="241" spans="1:2" x14ac:dyDescent="0.25">
      <c r="A241" s="25" t="s">
        <v>564</v>
      </c>
      <c r="B241" t="s">
        <v>565</v>
      </c>
    </row>
    <row r="242" spans="1:2" x14ac:dyDescent="0.25">
      <c r="A242" s="25" t="s">
        <v>566</v>
      </c>
      <c r="B242" t="s">
        <v>188</v>
      </c>
    </row>
    <row r="243" spans="1:2" x14ac:dyDescent="0.25">
      <c r="A243" s="25" t="s">
        <v>567</v>
      </c>
      <c r="B243" t="s">
        <v>568</v>
      </c>
    </row>
    <row r="244" spans="1:2" x14ac:dyDescent="0.25">
      <c r="A244" s="25" t="s">
        <v>569</v>
      </c>
      <c r="B244" t="s">
        <v>570</v>
      </c>
    </row>
    <row r="245" spans="1:2" x14ac:dyDescent="0.25">
      <c r="A245" s="25" t="s">
        <v>571</v>
      </c>
      <c r="B245" t="s">
        <v>572</v>
      </c>
    </row>
    <row r="246" spans="1:2" x14ac:dyDescent="0.25">
      <c r="A246" s="26" t="s">
        <v>573</v>
      </c>
      <c r="B246" t="s">
        <v>574</v>
      </c>
    </row>
    <row r="247" spans="1:2" x14ac:dyDescent="0.25">
      <c r="A247" s="25" t="s">
        <v>575</v>
      </c>
      <c r="B247" t="s">
        <v>576</v>
      </c>
    </row>
    <row r="248" spans="1:2" x14ac:dyDescent="0.25">
      <c r="A248" s="25" t="s">
        <v>577</v>
      </c>
      <c r="B248" t="s">
        <v>578</v>
      </c>
    </row>
    <row r="249" spans="1:2" x14ac:dyDescent="0.25">
      <c r="A249" s="25" t="s">
        <v>579</v>
      </c>
      <c r="B249" t="s">
        <v>580</v>
      </c>
    </row>
    <row r="250" spans="1:2" x14ac:dyDescent="0.25">
      <c r="A250" s="25" t="s">
        <v>581</v>
      </c>
      <c r="B250" t="s">
        <v>582</v>
      </c>
    </row>
    <row r="251" spans="1:2" x14ac:dyDescent="0.25">
      <c r="A251" s="25" t="s">
        <v>583</v>
      </c>
      <c r="B251" t="s">
        <v>584</v>
      </c>
    </row>
    <row r="252" spans="1:2" x14ac:dyDescent="0.25">
      <c r="A252" s="25" t="s">
        <v>585</v>
      </c>
      <c r="B252" t="s">
        <v>586</v>
      </c>
    </row>
    <row r="253" spans="1:2" x14ac:dyDescent="0.25">
      <c r="A253" s="25" t="s">
        <v>587</v>
      </c>
      <c r="B253" t="s">
        <v>588</v>
      </c>
    </row>
    <row r="254" spans="1:2" x14ac:dyDescent="0.25">
      <c r="A254" s="25" t="s">
        <v>589</v>
      </c>
      <c r="B254" t="s">
        <v>589</v>
      </c>
    </row>
    <row r="255" spans="1:2" x14ac:dyDescent="0.25">
      <c r="A255" s="25" t="s">
        <v>590</v>
      </c>
      <c r="B255" t="s">
        <v>591</v>
      </c>
    </row>
    <row r="256" spans="1:2" x14ac:dyDescent="0.25">
      <c r="A256" s="25" t="s">
        <v>592</v>
      </c>
      <c r="B256" t="s">
        <v>593</v>
      </c>
    </row>
    <row r="257" spans="1:2" x14ac:dyDescent="0.25">
      <c r="A257" s="25" t="s">
        <v>594</v>
      </c>
      <c r="B257" t="s">
        <v>595</v>
      </c>
    </row>
    <row r="258" spans="1:2" x14ac:dyDescent="0.25">
      <c r="A258" s="25" t="s">
        <v>596</v>
      </c>
      <c r="B258" t="s">
        <v>597</v>
      </c>
    </row>
    <row r="259" spans="1:2" s="27" customFormat="1" x14ac:dyDescent="0.25">
      <c r="A259" s="25" t="s">
        <v>598</v>
      </c>
      <c r="B259" t="s">
        <v>599</v>
      </c>
    </row>
    <row r="260" spans="1:2" x14ac:dyDescent="0.25">
      <c r="A260" s="25" t="s">
        <v>600</v>
      </c>
      <c r="B260" t="s">
        <v>601</v>
      </c>
    </row>
    <row r="261" spans="1:2" x14ac:dyDescent="0.25">
      <c r="A261" s="25" t="s">
        <v>602</v>
      </c>
      <c r="B261" t="s">
        <v>603</v>
      </c>
    </row>
    <row r="262" spans="1:2" x14ac:dyDescent="0.25">
      <c r="A262" s="25" t="s">
        <v>604</v>
      </c>
      <c r="B262" t="s">
        <v>605</v>
      </c>
    </row>
    <row r="263" spans="1:2" x14ac:dyDescent="0.25">
      <c r="A263" s="25" t="s">
        <v>606</v>
      </c>
      <c r="B263" t="s">
        <v>607</v>
      </c>
    </row>
    <row r="264" spans="1:2" x14ac:dyDescent="0.25">
      <c r="A264" s="25" t="s">
        <v>608</v>
      </c>
      <c r="B264" t="s">
        <v>609</v>
      </c>
    </row>
    <row r="265" spans="1:2" x14ac:dyDescent="0.25">
      <c r="A265" s="25" t="s">
        <v>610</v>
      </c>
      <c r="B265" t="s">
        <v>611</v>
      </c>
    </row>
    <row r="266" spans="1:2" x14ac:dyDescent="0.25">
      <c r="A266" s="25" t="s">
        <v>612</v>
      </c>
      <c r="B266" t="s">
        <v>613</v>
      </c>
    </row>
    <row r="267" spans="1:2" x14ac:dyDescent="0.25">
      <c r="A267" s="25" t="s">
        <v>614</v>
      </c>
      <c r="B267" t="s">
        <v>274</v>
      </c>
    </row>
    <row r="268" spans="1:2" x14ac:dyDescent="0.25">
      <c r="A268" s="25" t="s">
        <v>615</v>
      </c>
      <c r="B268" t="s">
        <v>616</v>
      </c>
    </row>
    <row r="269" spans="1:2" x14ac:dyDescent="0.25">
      <c r="A269" s="25" t="s">
        <v>617</v>
      </c>
      <c r="B269" t="s">
        <v>618</v>
      </c>
    </row>
    <row r="270" spans="1:2" x14ac:dyDescent="0.25">
      <c r="A270" s="25" t="s">
        <v>619</v>
      </c>
      <c r="B270" t="s">
        <v>620</v>
      </c>
    </row>
    <row r="271" spans="1:2" x14ac:dyDescent="0.25">
      <c r="A271" s="25" t="s">
        <v>621</v>
      </c>
      <c r="B271" t="s">
        <v>622</v>
      </c>
    </row>
    <row r="272" spans="1:2" x14ac:dyDescent="0.25">
      <c r="A272" s="25" t="s">
        <v>623</v>
      </c>
      <c r="B272" t="s">
        <v>624</v>
      </c>
    </row>
    <row r="273" spans="1:2" x14ac:dyDescent="0.25">
      <c r="A273" s="25" t="s">
        <v>625</v>
      </c>
      <c r="B273" t="s">
        <v>626</v>
      </c>
    </row>
    <row r="274" spans="1:2" x14ac:dyDescent="0.25">
      <c r="A274" s="25" t="s">
        <v>627</v>
      </c>
      <c r="B274" t="s">
        <v>628</v>
      </c>
    </row>
    <row r="275" spans="1:2" x14ac:dyDescent="0.25">
      <c r="A275" s="25" t="s">
        <v>629</v>
      </c>
      <c r="B275" t="s">
        <v>630</v>
      </c>
    </row>
    <row r="276" spans="1:2" x14ac:dyDescent="0.25">
      <c r="A276" s="25" t="s">
        <v>631</v>
      </c>
      <c r="B276" t="s">
        <v>632</v>
      </c>
    </row>
    <row r="277" spans="1:2" x14ac:dyDescent="0.25">
      <c r="A277" s="25" t="s">
        <v>633</v>
      </c>
      <c r="B277" t="s">
        <v>634</v>
      </c>
    </row>
    <row r="278" spans="1:2" x14ac:dyDescent="0.25">
      <c r="A278" s="25" t="s">
        <v>635</v>
      </c>
      <c r="B278" t="s">
        <v>636</v>
      </c>
    </row>
    <row r="279" spans="1:2" x14ac:dyDescent="0.25">
      <c r="A279" s="25" t="s">
        <v>637</v>
      </c>
      <c r="B279" t="s">
        <v>638</v>
      </c>
    </row>
    <row r="280" spans="1:2" x14ac:dyDescent="0.25">
      <c r="A280" s="25" t="s">
        <v>639</v>
      </c>
      <c r="B280" t="s">
        <v>640</v>
      </c>
    </row>
    <row r="281" spans="1:2" x14ac:dyDescent="0.25">
      <c r="A281" s="25" t="s">
        <v>641</v>
      </c>
      <c r="B281" t="s">
        <v>642</v>
      </c>
    </row>
    <row r="282" spans="1:2" x14ac:dyDescent="0.25">
      <c r="A282" s="25" t="s">
        <v>643</v>
      </c>
      <c r="B282" t="s">
        <v>644</v>
      </c>
    </row>
    <row r="283" spans="1:2" x14ac:dyDescent="0.25">
      <c r="A283" s="25" t="s">
        <v>645</v>
      </c>
      <c r="B283" t="s">
        <v>646</v>
      </c>
    </row>
    <row r="284" spans="1:2" x14ac:dyDescent="0.25">
      <c r="A284" s="25" t="s">
        <v>647</v>
      </c>
      <c r="B284" t="s">
        <v>648</v>
      </c>
    </row>
    <row r="285" spans="1:2" x14ac:dyDescent="0.25">
      <c r="A285" s="25" t="s">
        <v>649</v>
      </c>
      <c r="B285" t="s">
        <v>650</v>
      </c>
    </row>
    <row r="286" spans="1:2" x14ac:dyDescent="0.25">
      <c r="A286" s="25" t="s">
        <v>651</v>
      </c>
      <c r="B286" t="s">
        <v>652</v>
      </c>
    </row>
    <row r="287" spans="1:2" x14ac:dyDescent="0.25">
      <c r="A287" s="25" t="s">
        <v>653</v>
      </c>
      <c r="B287" t="s">
        <v>654</v>
      </c>
    </row>
    <row r="288" spans="1:2" x14ac:dyDescent="0.25">
      <c r="A288" s="25" t="s">
        <v>655</v>
      </c>
      <c r="B288" t="s">
        <v>656</v>
      </c>
    </row>
    <row r="289" spans="1:2" x14ac:dyDescent="0.25">
      <c r="A289" s="25" t="s">
        <v>657</v>
      </c>
      <c r="B289" t="s">
        <v>658</v>
      </c>
    </row>
    <row r="290" spans="1:2" x14ac:dyDescent="0.25">
      <c r="A290" s="26" t="s">
        <v>659</v>
      </c>
      <c r="B290" s="27" t="s">
        <v>660</v>
      </c>
    </row>
    <row r="291" spans="1:2" x14ac:dyDescent="0.25">
      <c r="A291" s="25" t="s">
        <v>661</v>
      </c>
      <c r="B291" t="s">
        <v>662</v>
      </c>
    </row>
    <row r="292" spans="1:2" x14ac:dyDescent="0.25">
      <c r="A292" s="25" t="s">
        <v>663</v>
      </c>
      <c r="B292" t="s">
        <v>664</v>
      </c>
    </row>
    <row r="293" spans="1:2" x14ac:dyDescent="0.25">
      <c r="A293" s="25" t="s">
        <v>665</v>
      </c>
      <c r="B293" t="s">
        <v>666</v>
      </c>
    </row>
    <row r="294" spans="1:2" x14ac:dyDescent="0.25">
      <c r="A294" s="25" t="s">
        <v>667</v>
      </c>
      <c r="B294" t="s">
        <v>668</v>
      </c>
    </row>
    <row r="295" spans="1:2" x14ac:dyDescent="0.25">
      <c r="A295" s="25" t="s">
        <v>669</v>
      </c>
      <c r="B295" t="s">
        <v>670</v>
      </c>
    </row>
    <row r="296" spans="1:2" x14ac:dyDescent="0.25">
      <c r="A296" s="25" t="s">
        <v>671</v>
      </c>
      <c r="B296" t="s">
        <v>672</v>
      </c>
    </row>
    <row r="297" spans="1:2" x14ac:dyDescent="0.25">
      <c r="A297" s="25" t="s">
        <v>673</v>
      </c>
      <c r="B297" t="s">
        <v>674</v>
      </c>
    </row>
    <row r="298" spans="1:2" x14ac:dyDescent="0.25">
      <c r="A298" s="25" t="s">
        <v>675</v>
      </c>
      <c r="B298" t="s">
        <v>676</v>
      </c>
    </row>
    <row r="299" spans="1:2" x14ac:dyDescent="0.25">
      <c r="A299" s="25" t="s">
        <v>677</v>
      </c>
      <c r="B299" t="s">
        <v>274</v>
      </c>
    </row>
    <row r="300" spans="1:2" x14ac:dyDescent="0.25">
      <c r="A300" s="25" t="s">
        <v>678</v>
      </c>
      <c r="B300" t="s">
        <v>679</v>
      </c>
    </row>
    <row r="301" spans="1:2" x14ac:dyDescent="0.25">
      <c r="A301" s="25" t="s">
        <v>680</v>
      </c>
      <c r="B301" t="s">
        <v>681</v>
      </c>
    </row>
    <row r="302" spans="1:2" x14ac:dyDescent="0.25">
      <c r="A302" s="25" t="s">
        <v>682</v>
      </c>
      <c r="B302" t="s">
        <v>683</v>
      </c>
    </row>
    <row r="303" spans="1:2" x14ac:dyDescent="0.25">
      <c r="A303" s="25" t="s">
        <v>684</v>
      </c>
      <c r="B303" t="s">
        <v>685</v>
      </c>
    </row>
    <row r="304" spans="1:2" x14ac:dyDescent="0.25">
      <c r="A304" s="25" t="s">
        <v>686</v>
      </c>
      <c r="B304" t="s">
        <v>128</v>
      </c>
    </row>
    <row r="305" spans="1:2" x14ac:dyDescent="0.25">
      <c r="A305" s="25" t="s">
        <v>687</v>
      </c>
      <c r="B305" t="s">
        <v>688</v>
      </c>
    </row>
    <row r="306" spans="1:2" x14ac:dyDescent="0.25">
      <c r="A306" s="25" t="s">
        <v>689</v>
      </c>
      <c r="B306" t="s">
        <v>690</v>
      </c>
    </row>
    <row r="307" spans="1:2" x14ac:dyDescent="0.25">
      <c r="A307" s="25" t="s">
        <v>691</v>
      </c>
      <c r="B307" t="s">
        <v>692</v>
      </c>
    </row>
    <row r="308" spans="1:2" x14ac:dyDescent="0.25">
      <c r="A308" s="25" t="s">
        <v>693</v>
      </c>
      <c r="B308" t="s">
        <v>694</v>
      </c>
    </row>
    <row r="309" spans="1:2" x14ac:dyDescent="0.25">
      <c r="A309" s="25" t="s">
        <v>695</v>
      </c>
      <c r="B309" t="s">
        <v>696</v>
      </c>
    </row>
    <row r="310" spans="1:2" x14ac:dyDescent="0.25">
      <c r="A310" s="25" t="s">
        <v>697</v>
      </c>
      <c r="B310" t="s">
        <v>698</v>
      </c>
    </row>
    <row r="311" spans="1:2" x14ac:dyDescent="0.25">
      <c r="A311" s="25" t="s">
        <v>699</v>
      </c>
      <c r="B311" t="s">
        <v>700</v>
      </c>
    </row>
    <row r="312" spans="1:2" x14ac:dyDescent="0.25">
      <c r="A312" s="25" t="s">
        <v>701</v>
      </c>
      <c r="B312" t="s">
        <v>702</v>
      </c>
    </row>
    <row r="313" spans="1:2" x14ac:dyDescent="0.25">
      <c r="A313" s="25" t="s">
        <v>703</v>
      </c>
      <c r="B313" t="s">
        <v>704</v>
      </c>
    </row>
    <row r="314" spans="1:2" x14ac:dyDescent="0.25">
      <c r="A314" s="25" t="s">
        <v>705</v>
      </c>
      <c r="B314" t="s">
        <v>706</v>
      </c>
    </row>
    <row r="315" spans="1:2" x14ac:dyDescent="0.25">
      <c r="A315" s="25" t="s">
        <v>707</v>
      </c>
      <c r="B315" t="s">
        <v>708</v>
      </c>
    </row>
    <row r="316" spans="1:2" x14ac:dyDescent="0.25">
      <c r="A316" s="25" t="s">
        <v>709</v>
      </c>
      <c r="B316" t="s">
        <v>710</v>
      </c>
    </row>
    <row r="317" spans="1:2" x14ac:dyDescent="0.25">
      <c r="A317" s="25" t="s">
        <v>711</v>
      </c>
      <c r="B317" t="s">
        <v>274</v>
      </c>
    </row>
    <row r="318" spans="1:2" x14ac:dyDescent="0.25">
      <c r="A318" s="25" t="s">
        <v>712</v>
      </c>
      <c r="B318" t="s">
        <v>713</v>
      </c>
    </row>
    <row r="319" spans="1:2" x14ac:dyDescent="0.25">
      <c r="A319" s="25" t="s">
        <v>714</v>
      </c>
      <c r="B319" t="s">
        <v>715</v>
      </c>
    </row>
    <row r="320" spans="1:2" x14ac:dyDescent="0.25">
      <c r="A320" s="25" t="s">
        <v>716</v>
      </c>
      <c r="B320" t="s">
        <v>717</v>
      </c>
    </row>
    <row r="321" spans="1:2" x14ac:dyDescent="0.25">
      <c r="A321" s="25" t="s">
        <v>718</v>
      </c>
      <c r="B321" t="s">
        <v>719</v>
      </c>
    </row>
    <row r="322" spans="1:2" x14ac:dyDescent="0.25">
      <c r="A322" s="25" t="s">
        <v>720</v>
      </c>
      <c r="B322" t="s">
        <v>503</v>
      </c>
    </row>
    <row r="323" spans="1:2" x14ac:dyDescent="0.25">
      <c r="A323" s="25" t="s">
        <v>721</v>
      </c>
      <c r="B323" t="s">
        <v>722</v>
      </c>
    </row>
    <row r="324" spans="1:2" x14ac:dyDescent="0.25">
      <c r="A324" s="25" t="s">
        <v>723</v>
      </c>
      <c r="B324" t="s">
        <v>724</v>
      </c>
    </row>
    <row r="325" spans="1:2" x14ac:dyDescent="0.25">
      <c r="A325" s="25" t="s">
        <v>725</v>
      </c>
      <c r="B325" t="s">
        <v>726</v>
      </c>
    </row>
    <row r="326" spans="1:2" x14ac:dyDescent="0.25">
      <c r="A326" s="26" t="s">
        <v>727</v>
      </c>
      <c r="B326" t="s">
        <v>728</v>
      </c>
    </row>
    <row r="327" spans="1:2" x14ac:dyDescent="0.25">
      <c r="A327" s="25" t="s">
        <v>729</v>
      </c>
      <c r="B327" t="s">
        <v>730</v>
      </c>
    </row>
    <row r="328" spans="1:2" x14ac:dyDescent="0.25">
      <c r="A328" s="25" t="s">
        <v>731</v>
      </c>
      <c r="B328" t="s">
        <v>732</v>
      </c>
    </row>
    <row r="329" spans="1:2" x14ac:dyDescent="0.25">
      <c r="A329" s="25" t="s">
        <v>733</v>
      </c>
      <c r="B329" t="s">
        <v>734</v>
      </c>
    </row>
    <row r="330" spans="1:2" x14ac:dyDescent="0.25">
      <c r="A330" s="25" t="s">
        <v>735</v>
      </c>
      <c r="B330" t="s">
        <v>736</v>
      </c>
    </row>
    <row r="331" spans="1:2" x14ac:dyDescent="0.25">
      <c r="A331" s="26" t="s">
        <v>737</v>
      </c>
      <c r="B331" t="s">
        <v>738</v>
      </c>
    </row>
    <row r="332" spans="1:2" x14ac:dyDescent="0.25">
      <c r="A332" s="25" t="s">
        <v>739</v>
      </c>
      <c r="B332" t="s">
        <v>740</v>
      </c>
    </row>
    <row r="333" spans="1:2" x14ac:dyDescent="0.25">
      <c r="A333" s="25" t="s">
        <v>741</v>
      </c>
      <c r="B333" t="s">
        <v>742</v>
      </c>
    </row>
    <row r="334" spans="1:2" x14ac:dyDescent="0.25">
      <c r="A334" s="25" t="s">
        <v>743</v>
      </c>
      <c r="B334" t="s">
        <v>744</v>
      </c>
    </row>
    <row r="335" spans="1:2" x14ac:dyDescent="0.25">
      <c r="A335" s="25" t="s">
        <v>745</v>
      </c>
      <c r="B335" t="s">
        <v>746</v>
      </c>
    </row>
    <row r="336" spans="1:2" x14ac:dyDescent="0.25">
      <c r="A336" s="25" t="s">
        <v>747</v>
      </c>
      <c r="B336" t="s">
        <v>748</v>
      </c>
    </row>
    <row r="337" spans="1:2" x14ac:dyDescent="0.25">
      <c r="A337" s="25" t="s">
        <v>749</v>
      </c>
      <c r="B337" t="s">
        <v>750</v>
      </c>
    </row>
    <row r="338" spans="1:2" x14ac:dyDescent="0.25">
      <c r="A338" s="26" t="s">
        <v>751</v>
      </c>
      <c r="B338" t="s">
        <v>752</v>
      </c>
    </row>
    <row r="339" spans="1:2" x14ac:dyDescent="0.25">
      <c r="A339" s="26" t="s">
        <v>753</v>
      </c>
      <c r="B339" t="s">
        <v>754</v>
      </c>
    </row>
    <row r="340" spans="1:2" x14ac:dyDescent="0.25">
      <c r="A340" s="26" t="s">
        <v>755</v>
      </c>
      <c r="B340" t="s">
        <v>756</v>
      </c>
    </row>
    <row r="341" spans="1:2" x14ac:dyDescent="0.25">
      <c r="A341" s="26" t="s">
        <v>757</v>
      </c>
      <c r="B341" t="s">
        <v>758</v>
      </c>
    </row>
    <row r="342" spans="1:2" x14ac:dyDescent="0.25">
      <c r="A342" s="26" t="s">
        <v>759</v>
      </c>
      <c r="B342" t="s">
        <v>760</v>
      </c>
    </row>
    <row r="343" spans="1:2" x14ac:dyDescent="0.25">
      <c r="A343" s="26" t="s">
        <v>761</v>
      </c>
      <c r="B343" t="s">
        <v>762</v>
      </c>
    </row>
    <row r="344" spans="1:2" x14ac:dyDescent="0.25">
      <c r="A344" s="26" t="s">
        <v>763</v>
      </c>
      <c r="B344" t="s">
        <v>764</v>
      </c>
    </row>
    <row r="345" spans="1:2" x14ac:dyDescent="0.25">
      <c r="A345" s="25" t="s">
        <v>765</v>
      </c>
      <c r="B345" t="s">
        <v>766</v>
      </c>
    </row>
    <row r="346" spans="1:2" s="27" customFormat="1" x14ac:dyDescent="0.25">
      <c r="A346" s="25" t="s">
        <v>767</v>
      </c>
      <c r="B346" t="s">
        <v>768</v>
      </c>
    </row>
    <row r="347" spans="1:2" x14ac:dyDescent="0.25">
      <c r="A347" s="25" t="s">
        <v>769</v>
      </c>
      <c r="B347" t="s">
        <v>770</v>
      </c>
    </row>
    <row r="348" spans="1:2" x14ac:dyDescent="0.25">
      <c r="A348" s="25" t="s">
        <v>771</v>
      </c>
      <c r="B348" t="s">
        <v>96</v>
      </c>
    </row>
    <row r="349" spans="1:2" x14ac:dyDescent="0.25">
      <c r="A349" s="25" t="s">
        <v>772</v>
      </c>
      <c r="B349" t="s">
        <v>773</v>
      </c>
    </row>
    <row r="350" spans="1:2" x14ac:dyDescent="0.25">
      <c r="A350" s="25" t="s">
        <v>774</v>
      </c>
      <c r="B350" t="s">
        <v>775</v>
      </c>
    </row>
    <row r="351" spans="1:2" x14ac:dyDescent="0.25">
      <c r="A351" s="25" t="s">
        <v>776</v>
      </c>
      <c r="B351" t="s">
        <v>777</v>
      </c>
    </row>
    <row r="352" spans="1:2" x14ac:dyDescent="0.25">
      <c r="A352" s="25" t="s">
        <v>778</v>
      </c>
      <c r="B352" t="s">
        <v>779</v>
      </c>
    </row>
    <row r="353" spans="1:2" x14ac:dyDescent="0.25">
      <c r="A353" s="25" t="s">
        <v>780</v>
      </c>
      <c r="B353" t="s">
        <v>781</v>
      </c>
    </row>
    <row r="354" spans="1:2" x14ac:dyDescent="0.25">
      <c r="A354" s="26" t="s">
        <v>782</v>
      </c>
      <c r="B354" t="s">
        <v>783</v>
      </c>
    </row>
    <row r="355" spans="1:2" x14ac:dyDescent="0.25">
      <c r="A355" s="25" t="s">
        <v>784</v>
      </c>
      <c r="B355" t="s">
        <v>785</v>
      </c>
    </row>
    <row r="356" spans="1:2" x14ac:dyDescent="0.25">
      <c r="A356" s="25" t="s">
        <v>786</v>
      </c>
      <c r="B356" t="s">
        <v>787</v>
      </c>
    </row>
    <row r="357" spans="1:2" x14ac:dyDescent="0.25">
      <c r="A357" s="25" t="s">
        <v>788</v>
      </c>
      <c r="B357" t="s">
        <v>789</v>
      </c>
    </row>
    <row r="358" spans="1:2" x14ac:dyDescent="0.25">
      <c r="A358" s="25" t="s">
        <v>790</v>
      </c>
      <c r="B358" t="s">
        <v>90</v>
      </c>
    </row>
    <row r="359" spans="1:2" x14ac:dyDescent="0.25">
      <c r="A359" s="25" t="s">
        <v>791</v>
      </c>
      <c r="B359" t="s">
        <v>792</v>
      </c>
    </row>
    <row r="360" spans="1:2" x14ac:dyDescent="0.25">
      <c r="A360" s="25" t="s">
        <v>793</v>
      </c>
      <c r="B360" t="s">
        <v>794</v>
      </c>
    </row>
    <row r="361" spans="1:2" x14ac:dyDescent="0.25">
      <c r="A361" s="25" t="s">
        <v>795</v>
      </c>
      <c r="B361" t="s">
        <v>796</v>
      </c>
    </row>
    <row r="362" spans="1:2" x14ac:dyDescent="0.25">
      <c r="A362" s="25" t="s">
        <v>797</v>
      </c>
      <c r="B362" t="s">
        <v>798</v>
      </c>
    </row>
    <row r="363" spans="1:2" x14ac:dyDescent="0.25">
      <c r="A363" s="26" t="s">
        <v>799</v>
      </c>
      <c r="B363" t="s">
        <v>800</v>
      </c>
    </row>
    <row r="364" spans="1:2" x14ac:dyDescent="0.25">
      <c r="A364" s="25" t="s">
        <v>801</v>
      </c>
      <c r="B364" t="s">
        <v>802</v>
      </c>
    </row>
    <row r="365" spans="1:2" x14ac:dyDescent="0.25">
      <c r="A365" s="25" t="s">
        <v>803</v>
      </c>
      <c r="B365" t="s">
        <v>804</v>
      </c>
    </row>
    <row r="366" spans="1:2" x14ac:dyDescent="0.25">
      <c r="A366" s="26" t="s">
        <v>805</v>
      </c>
      <c r="B366" t="s">
        <v>806</v>
      </c>
    </row>
    <row r="367" spans="1:2" x14ac:dyDescent="0.25">
      <c r="A367" s="25" t="s">
        <v>807</v>
      </c>
      <c r="B367" t="s">
        <v>88</v>
      </c>
    </row>
    <row r="368" spans="1:2" x14ac:dyDescent="0.25">
      <c r="A368" s="25" t="s">
        <v>808</v>
      </c>
      <c r="B368" t="s">
        <v>809</v>
      </c>
    </row>
    <row r="369" spans="1:2" x14ac:dyDescent="0.25">
      <c r="A369" s="25" t="s">
        <v>810</v>
      </c>
      <c r="B369" t="s">
        <v>811</v>
      </c>
    </row>
    <row r="370" spans="1:2" x14ac:dyDescent="0.25">
      <c r="A370" s="26" t="s">
        <v>812</v>
      </c>
      <c r="B370" t="s">
        <v>813</v>
      </c>
    </row>
    <row r="371" spans="1:2" x14ac:dyDescent="0.25">
      <c r="A371" s="26" t="s">
        <v>814</v>
      </c>
      <c r="B371" t="s">
        <v>815</v>
      </c>
    </row>
    <row r="372" spans="1:2" x14ac:dyDescent="0.25">
      <c r="A372" s="26" t="s">
        <v>816</v>
      </c>
      <c r="B372" t="s">
        <v>817</v>
      </c>
    </row>
    <row r="373" spans="1:2" x14ac:dyDescent="0.25">
      <c r="A373" s="26" t="s">
        <v>818</v>
      </c>
      <c r="B373" t="s">
        <v>819</v>
      </c>
    </row>
    <row r="374" spans="1:2" x14ac:dyDescent="0.25">
      <c r="A374" s="25" t="s">
        <v>820</v>
      </c>
      <c r="B374" t="s">
        <v>821</v>
      </c>
    </row>
    <row r="375" spans="1:2" x14ac:dyDescent="0.25">
      <c r="A375" s="25" t="s">
        <v>822</v>
      </c>
      <c r="B375" t="s">
        <v>823</v>
      </c>
    </row>
    <row r="376" spans="1:2" x14ac:dyDescent="0.25">
      <c r="A376" s="26" t="s">
        <v>824</v>
      </c>
      <c r="B376" t="s">
        <v>825</v>
      </c>
    </row>
    <row r="377" spans="1:2" x14ac:dyDescent="0.25">
      <c r="A377" s="26" t="s">
        <v>826</v>
      </c>
      <c r="B377" t="s">
        <v>827</v>
      </c>
    </row>
    <row r="378" spans="1:2" x14ac:dyDescent="0.25">
      <c r="A378" s="26" t="s">
        <v>828</v>
      </c>
      <c r="B378" t="s">
        <v>829</v>
      </c>
    </row>
    <row r="379" spans="1:2" x14ac:dyDescent="0.25">
      <c r="A379" s="26" t="s">
        <v>830</v>
      </c>
      <c r="B379" t="s">
        <v>831</v>
      </c>
    </row>
    <row r="380" spans="1:2" x14ac:dyDescent="0.25">
      <c r="A380" s="25" t="s">
        <v>832</v>
      </c>
      <c r="B380" t="s">
        <v>833</v>
      </c>
    </row>
    <row r="381" spans="1:2" x14ac:dyDescent="0.25">
      <c r="A381" s="25" t="s">
        <v>834</v>
      </c>
      <c r="B381" t="s">
        <v>835</v>
      </c>
    </row>
    <row r="382" spans="1:2" x14ac:dyDescent="0.25">
      <c r="A382" s="25" t="s">
        <v>836</v>
      </c>
      <c r="B382" t="s">
        <v>837</v>
      </c>
    </row>
    <row r="383" spans="1:2" x14ac:dyDescent="0.25">
      <c r="A383" s="25" t="s">
        <v>838</v>
      </c>
      <c r="B383" t="s">
        <v>839</v>
      </c>
    </row>
    <row r="384" spans="1:2" x14ac:dyDescent="0.25">
      <c r="A384" s="25" t="s">
        <v>840</v>
      </c>
      <c r="B384" t="s">
        <v>841</v>
      </c>
    </row>
  </sheetData>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selection activeCell="A2" sqref="A2"/>
    </sheetView>
  </sheetViews>
  <sheetFormatPr defaultColWidth="8.85546875" defaultRowHeight="15" x14ac:dyDescent="0.25"/>
  <cols>
    <col min="1" max="1" width="34.5703125" style="30" customWidth="1"/>
    <col min="2" max="2" width="16" style="30" customWidth="1"/>
    <col min="3" max="3" width="34" style="30" customWidth="1"/>
    <col min="4" max="4" width="27.42578125" style="30" customWidth="1"/>
    <col min="5" max="5" width="74.42578125" style="30" customWidth="1"/>
    <col min="6" max="6" width="27.42578125" style="30" customWidth="1"/>
  </cols>
  <sheetData>
    <row r="1" spans="1:6" x14ac:dyDescent="0.25">
      <c r="A1" s="30" t="s">
        <v>906</v>
      </c>
      <c r="B1" s="30" t="s">
        <v>907</v>
      </c>
      <c r="C1" s="30" t="s">
        <v>908</v>
      </c>
      <c r="D1" s="30" t="s">
        <v>909</v>
      </c>
      <c r="E1" s="30" t="s">
        <v>910</v>
      </c>
      <c r="F1" s="30" t="s">
        <v>911</v>
      </c>
    </row>
    <row r="2" spans="1:6" x14ac:dyDescent="0.25">
      <c r="A2" s="31"/>
    </row>
    <row r="3" spans="1:6" x14ac:dyDescent="0.25">
      <c r="A3" s="32"/>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topLeftCell="A7" workbookViewId="0">
      <selection activeCell="C11" sqref="C11"/>
    </sheetView>
  </sheetViews>
  <sheetFormatPr defaultColWidth="8.85546875"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842</v>
      </c>
      <c r="B1" s="29" t="s">
        <v>843</v>
      </c>
      <c r="C1" s="29" t="s">
        <v>844</v>
      </c>
      <c r="D1" s="29" t="s">
        <v>845</v>
      </c>
      <c r="E1" s="29" t="s">
        <v>2</v>
      </c>
    </row>
    <row r="2" spans="1:5" x14ac:dyDescent="0.25">
      <c r="A2" s="29" t="s">
        <v>846</v>
      </c>
      <c r="B2" s="29" t="s">
        <v>847</v>
      </c>
      <c r="D2" s="29" t="s">
        <v>848</v>
      </c>
    </row>
    <row r="3" spans="1:5" x14ac:dyDescent="0.25">
      <c r="A3" s="29" t="s">
        <v>849</v>
      </c>
      <c r="B3" s="29" t="s">
        <v>850</v>
      </c>
      <c r="D3" s="29" t="s">
        <v>851</v>
      </c>
    </row>
    <row r="4" spans="1:5" x14ac:dyDescent="0.25">
      <c r="A4" s="29" t="s">
        <v>852</v>
      </c>
      <c r="B4" s="29" t="s">
        <v>853</v>
      </c>
      <c r="D4" s="29" t="s">
        <v>854</v>
      </c>
    </row>
    <row r="5" spans="1:5" x14ac:dyDescent="0.25">
      <c r="A5" s="29" t="s">
        <v>855</v>
      </c>
      <c r="B5" s="29" t="s">
        <v>856</v>
      </c>
      <c r="D5" s="29" t="s">
        <v>857</v>
      </c>
    </row>
    <row r="6" spans="1:5" x14ac:dyDescent="0.25">
      <c r="A6" s="29" t="s">
        <v>858</v>
      </c>
      <c r="B6" s="29" t="s">
        <v>859</v>
      </c>
      <c r="D6" s="29" t="s">
        <v>860</v>
      </c>
    </row>
    <row r="7" spans="1:5" x14ac:dyDescent="0.25">
      <c r="A7" s="29" t="s">
        <v>861</v>
      </c>
      <c r="B7" s="29" t="s">
        <v>862</v>
      </c>
      <c r="D7" s="29" t="s">
        <v>863</v>
      </c>
    </row>
    <row r="8" spans="1:5" x14ac:dyDescent="0.25">
      <c r="A8" s="29" t="s">
        <v>864</v>
      </c>
      <c r="B8" s="29" t="s">
        <v>865</v>
      </c>
      <c r="D8" s="29" t="s">
        <v>866</v>
      </c>
    </row>
    <row r="9" spans="1:5" x14ac:dyDescent="0.25">
      <c r="A9" s="29" t="s">
        <v>867</v>
      </c>
      <c r="B9" s="29" t="s">
        <v>868</v>
      </c>
      <c r="D9" s="29" t="s">
        <v>869</v>
      </c>
    </row>
    <row r="10" spans="1:5" x14ac:dyDescent="0.25">
      <c r="A10" s="29" t="s">
        <v>870</v>
      </c>
      <c r="B10" s="29" t="s">
        <v>871</v>
      </c>
      <c r="D10" s="29" t="s">
        <v>872</v>
      </c>
    </row>
    <row r="11" spans="1:5" x14ac:dyDescent="0.25">
      <c r="A11" s="29" t="s">
        <v>873</v>
      </c>
      <c r="B11" s="29" t="s">
        <v>874</v>
      </c>
      <c r="D11" s="29" t="s">
        <v>875</v>
      </c>
    </row>
    <row r="12" spans="1:5" x14ac:dyDescent="0.25">
      <c r="A12" s="29" t="s">
        <v>876</v>
      </c>
      <c r="B12" s="29" t="s">
        <v>877</v>
      </c>
      <c r="D12" s="29" t="s">
        <v>878</v>
      </c>
    </row>
    <row r="13" spans="1:5" x14ac:dyDescent="0.25">
      <c r="A13" s="29" t="s">
        <v>879</v>
      </c>
      <c r="B13" s="29" t="s">
        <v>880</v>
      </c>
      <c r="D13" s="29" t="s">
        <v>881</v>
      </c>
    </row>
    <row r="14" spans="1:5" x14ac:dyDescent="0.25">
      <c r="A14" s="29" t="s">
        <v>882</v>
      </c>
      <c r="B14" s="29" t="s">
        <v>883</v>
      </c>
      <c r="D14" s="29" t="s">
        <v>884</v>
      </c>
    </row>
    <row r="15" spans="1:5" x14ac:dyDescent="0.25">
      <c r="A15" s="29" t="s">
        <v>885</v>
      </c>
      <c r="D15" s="29" t="s">
        <v>886</v>
      </c>
      <c r="E15" s="29" t="s">
        <v>2</v>
      </c>
    </row>
    <row r="16" spans="1:5" x14ac:dyDescent="0.25">
      <c r="A16" s="29" t="s">
        <v>887</v>
      </c>
      <c r="D16" s="29" t="s">
        <v>888</v>
      </c>
      <c r="E16" s="29" t="s">
        <v>889</v>
      </c>
    </row>
    <row r="17" spans="1:5" x14ac:dyDescent="0.25">
      <c r="A17" s="29" t="s">
        <v>890</v>
      </c>
      <c r="D17" s="29" t="s">
        <v>888</v>
      </c>
      <c r="E17" s="29" t="s">
        <v>891</v>
      </c>
    </row>
    <row r="18" spans="1:5" x14ac:dyDescent="0.25">
      <c r="A18" s="29" t="s">
        <v>892</v>
      </c>
      <c r="D18" s="29" t="s">
        <v>893</v>
      </c>
      <c r="E18" s="29" t="s">
        <v>894</v>
      </c>
    </row>
    <row r="19" spans="1:5" x14ac:dyDescent="0.25">
      <c r="A19" s="29" t="s">
        <v>895</v>
      </c>
      <c r="C19" s="29" t="s">
        <v>896</v>
      </c>
      <c r="D19" s="29" t="s">
        <v>897</v>
      </c>
      <c r="E19" s="29" t="s">
        <v>896</v>
      </c>
    </row>
    <row r="20" spans="1:5" x14ac:dyDescent="0.25">
      <c r="A20" s="29" t="s">
        <v>895</v>
      </c>
      <c r="C20" s="29" t="s">
        <v>122</v>
      </c>
      <c r="D20" s="29" t="s">
        <v>897</v>
      </c>
      <c r="E20" s="29" t="s">
        <v>122</v>
      </c>
    </row>
    <row r="21" spans="1:5" x14ac:dyDescent="0.25">
      <c r="A21" s="29" t="s">
        <v>895</v>
      </c>
      <c r="C21" s="29" t="s">
        <v>152</v>
      </c>
      <c r="D21" s="29" t="s">
        <v>897</v>
      </c>
      <c r="E21" s="29" t="s">
        <v>152</v>
      </c>
    </row>
    <row r="22" spans="1:5" x14ac:dyDescent="0.25">
      <c r="A22" s="29" t="s">
        <v>895</v>
      </c>
      <c r="C22" s="29" t="s">
        <v>380</v>
      </c>
      <c r="D22" s="29" t="s">
        <v>897</v>
      </c>
      <c r="E22" s="29" t="s">
        <v>94</v>
      </c>
    </row>
    <row r="23" spans="1:5" x14ac:dyDescent="0.25">
      <c r="A23" s="29" t="s">
        <v>895</v>
      </c>
      <c r="C23" s="29" t="s">
        <v>92</v>
      </c>
      <c r="D23" s="29" t="s">
        <v>897</v>
      </c>
      <c r="E23" s="29" t="s">
        <v>92</v>
      </c>
    </row>
    <row r="24" spans="1:5" x14ac:dyDescent="0.25">
      <c r="A24" s="29" t="s">
        <v>895</v>
      </c>
      <c r="C24" s="29" t="s">
        <v>584</v>
      </c>
      <c r="D24" s="29" t="s">
        <v>897</v>
      </c>
      <c r="E24" s="29" t="s">
        <v>584</v>
      </c>
    </row>
    <row r="25" spans="1:5" x14ac:dyDescent="0.25">
      <c r="A25" s="29" t="s">
        <v>895</v>
      </c>
      <c r="C25" s="29" t="s">
        <v>722</v>
      </c>
      <c r="D25" s="29" t="s">
        <v>897</v>
      </c>
      <c r="E25" s="29" t="s">
        <v>722</v>
      </c>
    </row>
    <row r="26" spans="1:5" x14ac:dyDescent="0.25">
      <c r="A26" s="29" t="s">
        <v>895</v>
      </c>
      <c r="C26" s="29" t="s">
        <v>724</v>
      </c>
      <c r="D26" s="29" t="s">
        <v>897</v>
      </c>
      <c r="E26" s="29" t="s">
        <v>724</v>
      </c>
    </row>
    <row r="27" spans="1:5" x14ac:dyDescent="0.25">
      <c r="A27" s="29" t="s">
        <v>895</v>
      </c>
      <c r="C27" s="29" t="s">
        <v>768</v>
      </c>
      <c r="D27" s="29" t="s">
        <v>897</v>
      </c>
      <c r="E27" s="29" t="s">
        <v>96</v>
      </c>
    </row>
    <row r="28" spans="1:5" x14ac:dyDescent="0.25">
      <c r="A28" s="29" t="s">
        <v>895</v>
      </c>
      <c r="C28" s="29" t="s">
        <v>781</v>
      </c>
      <c r="D28" s="29" t="s">
        <v>897</v>
      </c>
      <c r="E28" s="29" t="s">
        <v>90</v>
      </c>
    </row>
    <row r="29" spans="1:5" x14ac:dyDescent="0.25">
      <c r="A29" s="29" t="s">
        <v>895</v>
      </c>
      <c r="C29" s="29" t="s">
        <v>88</v>
      </c>
      <c r="D29" s="29" t="s">
        <v>897</v>
      </c>
      <c r="E29" s="29" t="s">
        <v>88</v>
      </c>
    </row>
    <row r="30" spans="1:5" x14ac:dyDescent="0.25">
      <c r="A30" s="29" t="s">
        <v>898</v>
      </c>
      <c r="C30" s="29" t="s">
        <v>896</v>
      </c>
      <c r="D30" s="29" t="s">
        <v>897</v>
      </c>
      <c r="E30" s="29" t="s">
        <v>896</v>
      </c>
    </row>
    <row r="31" spans="1:5" x14ac:dyDescent="0.25">
      <c r="A31" s="29" t="s">
        <v>898</v>
      </c>
      <c r="C31" s="29" t="s">
        <v>152</v>
      </c>
      <c r="D31" s="29" t="s">
        <v>897</v>
      </c>
      <c r="E31" s="29" t="s">
        <v>899</v>
      </c>
    </row>
    <row r="32" spans="1:5" x14ac:dyDescent="0.25">
      <c r="A32" s="29" t="s">
        <v>898</v>
      </c>
      <c r="C32" s="29" t="s">
        <v>92</v>
      </c>
      <c r="D32" s="29" t="s">
        <v>897</v>
      </c>
      <c r="E32" s="29" t="s">
        <v>92</v>
      </c>
    </row>
    <row r="33" spans="1:5" x14ac:dyDescent="0.25">
      <c r="A33" s="29" t="s">
        <v>898</v>
      </c>
      <c r="C33" s="29" t="s">
        <v>380</v>
      </c>
      <c r="D33" s="29" t="s">
        <v>897</v>
      </c>
      <c r="E33" s="29" t="s">
        <v>900</v>
      </c>
    </row>
    <row r="34" spans="1:5" x14ac:dyDescent="0.25">
      <c r="A34" s="29" t="s">
        <v>898</v>
      </c>
      <c r="C34" s="29" t="s">
        <v>584</v>
      </c>
      <c r="D34" s="29" t="s">
        <v>897</v>
      </c>
      <c r="E34" s="29" t="s">
        <v>901</v>
      </c>
    </row>
    <row r="35" spans="1:5" x14ac:dyDescent="0.25">
      <c r="A35" s="29" t="s">
        <v>898</v>
      </c>
      <c r="C35" s="29" t="s">
        <v>722</v>
      </c>
      <c r="D35" s="29" t="s">
        <v>897</v>
      </c>
      <c r="E35" s="29" t="s">
        <v>902</v>
      </c>
    </row>
    <row r="36" spans="1:5" x14ac:dyDescent="0.25">
      <c r="A36" s="29" t="s">
        <v>898</v>
      </c>
      <c r="C36" s="29" t="s">
        <v>724</v>
      </c>
      <c r="D36" s="29" t="s">
        <v>897</v>
      </c>
      <c r="E36" s="29" t="s">
        <v>902</v>
      </c>
    </row>
    <row r="37" spans="1:5" x14ac:dyDescent="0.25">
      <c r="A37" s="29" t="s">
        <v>898</v>
      </c>
      <c r="C37" s="29" t="s">
        <v>768</v>
      </c>
      <c r="D37" s="29" t="s">
        <v>897</v>
      </c>
      <c r="E37" s="29" t="s">
        <v>903</v>
      </c>
    </row>
    <row r="38" spans="1:5" x14ac:dyDescent="0.25">
      <c r="A38" s="29" t="s">
        <v>898</v>
      </c>
      <c r="C38" s="29" t="s">
        <v>781</v>
      </c>
      <c r="D38" s="29" t="s">
        <v>897</v>
      </c>
      <c r="E38" s="29" t="s">
        <v>904</v>
      </c>
    </row>
    <row r="39" spans="1:5" x14ac:dyDescent="0.25">
      <c r="A39" s="29" t="s">
        <v>898</v>
      </c>
      <c r="C39" s="29" t="s">
        <v>88</v>
      </c>
      <c r="D39" s="29" t="s">
        <v>897</v>
      </c>
      <c r="E39" s="29" t="s">
        <v>905</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W17"/>
  <sheetViews>
    <sheetView tabSelected="1" workbookViewId="0">
      <selection activeCell="J24" sqref="J24"/>
    </sheetView>
  </sheetViews>
  <sheetFormatPr defaultColWidth="9" defaultRowHeight="15" x14ac:dyDescent="0.25"/>
  <cols>
    <col min="1" max="1" width="12" style="34" customWidth="1"/>
    <col min="2" max="2" width="27.140625" style="35" customWidth="1"/>
    <col min="3" max="3" width="11.42578125" style="34" customWidth="1"/>
    <col min="4" max="4" width="12.85546875" style="34" customWidth="1"/>
    <col min="5" max="5" width="11.7109375" style="34" customWidth="1"/>
    <col min="6" max="6" width="9.7109375" style="35" customWidth="1"/>
    <col min="7" max="7" width="14.28515625" style="34" customWidth="1"/>
    <col min="8" max="8" width="16.7109375" style="34" customWidth="1"/>
    <col min="9" max="9" width="7.85546875" style="34" customWidth="1"/>
    <col min="10" max="10" width="14.42578125" style="34" customWidth="1"/>
    <col min="11" max="18" width="16.42578125" style="34" customWidth="1"/>
    <col min="19" max="19" width="16.85546875" style="34" customWidth="1"/>
    <col min="20" max="20" width="9.42578125" style="34" customWidth="1"/>
    <col min="21" max="21" width="19.28515625" style="34" customWidth="1"/>
    <col min="22" max="22" width="15.5703125" style="34" customWidth="1"/>
    <col min="23" max="23" width="14.42578125" style="34" customWidth="1"/>
    <col min="24" max="24" width="12.5703125" style="34" customWidth="1"/>
    <col min="25" max="25" width="23.42578125" style="34" customWidth="1"/>
    <col min="26" max="26" width="17.28515625" style="34" customWidth="1"/>
    <col min="27" max="27" width="22.5703125" style="34" customWidth="1"/>
    <col min="28" max="28" width="6.140625" style="34" customWidth="1"/>
    <col min="29" max="29" width="11.28515625" style="34" customWidth="1"/>
    <col min="30" max="30" width="15" style="34" customWidth="1"/>
    <col min="31" max="35" width="18.85546875" style="34" customWidth="1"/>
    <col min="36" max="36" width="12.85546875" style="34" customWidth="1"/>
    <col min="37" max="37" width="23.140625" style="34" customWidth="1"/>
    <col min="38" max="38" width="15.7109375" style="34" customWidth="1"/>
    <col min="39" max="39" width="5.85546875" style="34" customWidth="1"/>
    <col min="40" max="40" width="18.85546875" style="34" customWidth="1"/>
    <col min="41" max="41" width="5.42578125" style="34" customWidth="1"/>
    <col min="42" max="42" width="9.42578125" style="34" customWidth="1"/>
    <col min="43" max="43" width="4.7109375" style="34" customWidth="1"/>
    <col min="44" max="44" width="11.85546875" style="34" customWidth="1"/>
    <col min="45" max="45" width="8" style="34" customWidth="1"/>
    <col min="46" max="50" width="16.5703125" style="34" customWidth="1"/>
    <col min="51" max="51" width="7" style="34" customWidth="1"/>
    <col min="52" max="55" width="19.28515625" style="34" customWidth="1"/>
    <col min="56" max="56" width="9.140625" style="34" customWidth="1"/>
    <col min="57" max="57" width="21.140625" style="34" customWidth="1"/>
    <col min="58" max="58" width="12.42578125" style="34" customWidth="1"/>
    <col min="59" max="59" width="18.85546875" style="34" customWidth="1"/>
    <col min="60" max="60" width="16.5703125" style="34" customWidth="1"/>
    <col min="61" max="61" width="15.28515625" style="34" customWidth="1"/>
    <col min="62" max="62" width="22.42578125" style="34" customWidth="1"/>
    <col min="63" max="63" width="12.28515625" style="34" customWidth="1"/>
    <col min="64" max="64" width="6.42578125" style="34" customWidth="1"/>
    <col min="65" max="65" width="26.7109375" style="34" customWidth="1"/>
    <col min="66" max="66" width="30" style="34" customWidth="1"/>
    <col min="67" max="67" width="30.42578125" style="34" customWidth="1"/>
    <col min="68" max="68" width="17.140625" style="34" customWidth="1"/>
    <col min="69" max="69" width="16.42578125" style="34" customWidth="1"/>
    <col min="70" max="70" width="16.7109375" style="34" customWidth="1"/>
    <col min="71" max="71" width="17.42578125" style="34" customWidth="1"/>
    <col min="72" max="72" width="31" style="34" customWidth="1"/>
    <col min="73" max="73" width="10.28515625" style="34" customWidth="1"/>
    <col min="74" max="74" width="10.5703125" style="34" customWidth="1"/>
    <col min="75" max="75" width="24.28515625" style="34" customWidth="1"/>
    <col min="76" max="76" width="9.85546875" style="34" customWidth="1"/>
    <col min="77" max="77" width="28.140625" style="34" customWidth="1"/>
    <col min="78" max="78" width="24" style="34" customWidth="1"/>
    <col min="79" max="79" width="23.42578125" style="34" customWidth="1"/>
    <col min="80" max="80" width="16.140625" style="34" customWidth="1"/>
    <col min="81" max="81" width="8.5703125" style="34" customWidth="1"/>
    <col min="82" max="82" width="11.7109375" style="34" customWidth="1"/>
    <col min="83" max="83" width="43.85546875" style="34" customWidth="1"/>
    <col min="84" max="84" width="23.85546875" style="34" customWidth="1"/>
    <col min="85" max="85" width="30.28515625" style="34" customWidth="1"/>
    <col min="86" max="86" width="17.5703125" style="34" customWidth="1"/>
    <col min="87" max="87" width="13.85546875" style="34" customWidth="1"/>
    <col min="88" max="88" width="13.42578125" style="34" customWidth="1"/>
    <col min="89" max="89" width="14.28515625" style="34" customWidth="1"/>
    <col min="90" max="90" width="27.85546875" style="34" customWidth="1"/>
    <col min="91" max="91" width="14.42578125" style="34" customWidth="1"/>
    <col min="92" max="92" width="28.140625" style="34" customWidth="1"/>
    <col min="93" max="93" width="27.42578125" style="34" customWidth="1"/>
    <col min="94" max="94" width="27.140625" style="34" customWidth="1"/>
    <col min="95" max="95" width="29.42578125" style="34" customWidth="1"/>
    <col min="96" max="96" width="13.28515625" style="34" customWidth="1"/>
    <col min="97" max="97" width="10.7109375" style="34" customWidth="1"/>
    <col min="98" max="98" width="7.28515625" style="34" customWidth="1"/>
    <col min="99" max="99" width="26.140625" style="34" customWidth="1"/>
    <col min="100" max="100" width="21.140625" style="34" customWidth="1"/>
    <col min="101" max="101" width="18.7109375" style="34" customWidth="1"/>
    <col min="102" max="102" width="10.85546875" style="34" customWidth="1"/>
    <col min="103" max="103" width="41.5703125" style="34" customWidth="1"/>
    <col min="104" max="106" width="14.5703125" style="34" customWidth="1"/>
    <col min="107" max="107" width="25.42578125" style="34" customWidth="1"/>
    <col min="108" max="110" width="17.140625" style="34" customWidth="1"/>
    <col min="111" max="111" width="19.28515625" style="34" customWidth="1"/>
    <col min="112" max="112" width="22.28515625" style="34" customWidth="1"/>
    <col min="113" max="113" width="20.42578125" style="34" customWidth="1"/>
    <col min="114" max="114" width="23.5703125" style="34" customWidth="1"/>
    <col min="115" max="115" width="25.42578125" style="34" customWidth="1"/>
    <col min="116" max="116" width="17.28515625" style="34" customWidth="1"/>
    <col min="117" max="117" width="19.5703125" style="34" customWidth="1"/>
    <col min="118" max="118" width="27.42578125" style="34" customWidth="1"/>
    <col min="119" max="119" width="41" style="34" customWidth="1"/>
    <col min="120" max="120" width="33.7109375" style="34" customWidth="1"/>
    <col min="121" max="125" width="34.85546875" style="34" customWidth="1"/>
    <col min="126" max="126" width="10.42578125" style="34" customWidth="1"/>
    <col min="127" max="127" width="25.5703125" style="34" customWidth="1"/>
    <col min="128" max="128" width="26.140625" style="34" customWidth="1"/>
    <col min="129" max="129" width="26.7109375" style="34" customWidth="1"/>
    <col min="130" max="130" width="14.85546875" style="34" customWidth="1"/>
    <col min="131" max="133" width="23.140625" style="34" customWidth="1"/>
    <col min="134" max="134" width="25.85546875" style="34" customWidth="1"/>
    <col min="135" max="137" width="44" style="34" customWidth="1"/>
    <col min="138" max="138" width="32.7109375" style="34" customWidth="1"/>
    <col min="139" max="139" width="35.42578125" style="34" customWidth="1"/>
    <col min="140" max="143" width="23.42578125" style="34" customWidth="1"/>
    <col min="144" max="146" width="15.42578125" style="34" customWidth="1"/>
    <col min="147" max="149" width="24.5703125" style="34" customWidth="1"/>
    <col min="150" max="152" width="25.7109375" style="34" customWidth="1"/>
    <col min="153" max="153" width="16.42578125" style="34" customWidth="1"/>
    <col min="154" max="154" width="32.28515625" style="34" customWidth="1"/>
    <col min="155" max="155" width="12.28515625" style="34" customWidth="1"/>
    <col min="156" max="156" width="12.7109375" style="34" customWidth="1"/>
    <col min="157" max="157" width="12.28515625" style="34" customWidth="1"/>
    <col min="158" max="158" width="12.7109375" style="34" customWidth="1"/>
    <col min="159" max="159" width="17.5703125" style="34" customWidth="1"/>
    <col min="160" max="160" width="15.85546875" style="34" customWidth="1"/>
    <col min="161" max="161" width="15.42578125" style="34" customWidth="1"/>
    <col min="162" max="162" width="26.42578125" style="34" customWidth="1"/>
    <col min="163" max="163" width="18.42578125" style="34" customWidth="1"/>
    <col min="164" max="164" width="16.85546875" style="34" customWidth="1"/>
    <col min="165" max="165" width="14.5703125" style="34" customWidth="1"/>
    <col min="166" max="166" width="18.140625" style="34" customWidth="1"/>
    <col min="167" max="167" width="17.7109375" style="34" customWidth="1"/>
    <col min="168" max="168" width="17.140625" style="34" customWidth="1"/>
    <col min="169" max="169" width="19.42578125" style="34" customWidth="1"/>
    <col min="170" max="170" width="18.28515625" style="34" customWidth="1"/>
    <col min="171" max="171" width="23.42578125" style="34" customWidth="1"/>
    <col min="172" max="172" width="18.140625" style="34" customWidth="1"/>
    <col min="173" max="173" width="17.7109375" style="34" customWidth="1"/>
    <col min="174" max="174" width="17.140625" style="34" customWidth="1"/>
    <col min="175" max="175" width="19.42578125" style="34" customWidth="1"/>
    <col min="176" max="176" width="18.28515625" style="34" customWidth="1"/>
    <col min="177" max="177" width="23.42578125" style="34" customWidth="1"/>
    <col min="178" max="178" width="18" style="34" customWidth="1"/>
    <col min="179" max="179" width="17.7109375" style="34" customWidth="1"/>
    <col min="180" max="180" width="17.140625" style="34" customWidth="1"/>
    <col min="181" max="181" width="19.42578125" style="34" customWidth="1"/>
    <col min="182" max="182" width="18.140625" style="34" customWidth="1"/>
    <col min="183" max="183" width="23.42578125" style="34" customWidth="1"/>
    <col min="184" max="184" width="13.42578125" style="34" customWidth="1"/>
    <col min="185" max="185" width="17.140625" style="34" customWidth="1"/>
    <col min="186" max="186" width="20.5703125" style="34" customWidth="1"/>
    <col min="187" max="187" width="14.140625" style="34" customWidth="1"/>
    <col min="188" max="188" width="20.5703125" style="34" customWidth="1"/>
    <col min="189" max="189" width="14.140625" style="34" customWidth="1"/>
    <col min="190" max="190" width="20.5703125" style="34" customWidth="1"/>
    <col min="191" max="191" width="14.140625" style="34" customWidth="1"/>
    <col min="192" max="192" width="20.5703125" style="34" customWidth="1"/>
    <col min="193" max="193" width="14.140625" style="34" customWidth="1"/>
    <col min="194" max="194" width="20.5703125" style="34" customWidth="1"/>
    <col min="195" max="195" width="14.140625" style="34" customWidth="1"/>
    <col min="196" max="196" width="19.7109375" style="34" customWidth="1"/>
    <col min="197" max="197" width="23.140625" style="34" customWidth="1"/>
    <col min="198" max="198" width="44.5703125" style="34" customWidth="1"/>
    <col min="199" max="199" width="31.42578125" style="34" customWidth="1"/>
    <col min="200" max="200" width="25.140625" style="34" customWidth="1"/>
    <col min="201" max="201" width="12.28515625" style="34" customWidth="1"/>
    <col min="202" max="202" width="31.42578125" style="34" customWidth="1"/>
    <col min="203" max="203" width="25.140625" style="34" customWidth="1"/>
    <col min="204" max="204" width="31.42578125" style="34" customWidth="1"/>
    <col min="205" max="205" width="25.140625" style="34" customWidth="1"/>
    <col min="206" max="206" width="9" style="34" customWidth="1"/>
    <col min="207" max="16384" width="9" style="34"/>
  </cols>
  <sheetData>
    <row r="1" spans="1:205" x14ac:dyDescent="0.25">
      <c r="A1" s="36" t="s">
        <v>2803</v>
      </c>
      <c r="B1" s="37" t="s">
        <v>2804</v>
      </c>
      <c r="C1" s="36" t="s">
        <v>2805</v>
      </c>
      <c r="D1" s="36" t="s">
        <v>2806</v>
      </c>
      <c r="E1" s="36" t="s">
        <v>2807</v>
      </c>
      <c r="F1" s="37"/>
      <c r="G1" s="36"/>
      <c r="H1" s="36"/>
      <c r="I1" s="36"/>
      <c r="J1" s="36"/>
      <c r="K1" s="38" t="s">
        <v>2772</v>
      </c>
      <c r="L1" s="38"/>
      <c r="M1" s="38"/>
      <c r="N1" s="38"/>
      <c r="O1" s="38"/>
      <c r="P1" s="38"/>
      <c r="Q1" s="38"/>
      <c r="R1" s="38"/>
      <c r="S1" s="38"/>
      <c r="T1" s="39" t="s">
        <v>921</v>
      </c>
      <c r="U1" s="39"/>
      <c r="V1" s="39"/>
      <c r="W1" s="39"/>
      <c r="X1" s="40" t="s">
        <v>2780</v>
      </c>
      <c r="Y1" s="40"/>
      <c r="Z1" s="40"/>
      <c r="AA1" s="40"/>
      <c r="AB1" s="40"/>
      <c r="AC1" s="40"/>
      <c r="AD1" s="40"/>
      <c r="AE1" s="41" t="s">
        <v>2781</v>
      </c>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2" t="s">
        <v>2782</v>
      </c>
      <c r="BL1" s="42"/>
      <c r="BM1" s="42"/>
      <c r="BN1" s="42"/>
      <c r="BO1" s="42"/>
      <c r="BP1" s="42"/>
      <c r="BQ1" s="42"/>
      <c r="BR1" s="42"/>
      <c r="BS1" s="42"/>
      <c r="BT1" s="42"/>
      <c r="BU1" s="42"/>
      <c r="BV1" s="42"/>
      <c r="BW1" s="42"/>
      <c r="BX1" s="42"/>
      <c r="BY1" s="42"/>
      <c r="BZ1" s="42"/>
      <c r="CA1" s="42"/>
      <c r="CB1" s="42"/>
      <c r="CC1" s="42"/>
      <c r="CD1" s="42"/>
      <c r="CE1" s="42"/>
      <c r="CF1" s="42"/>
      <c r="CG1" s="42"/>
      <c r="CH1" s="43" t="s">
        <v>2783</v>
      </c>
      <c r="CI1" s="43"/>
      <c r="CJ1" s="43"/>
      <c r="CK1" s="43"/>
      <c r="CL1" s="43"/>
      <c r="CM1" s="43"/>
      <c r="CN1" s="43"/>
      <c r="CO1" s="43"/>
      <c r="CP1" s="43"/>
      <c r="CQ1" s="44" t="s">
        <v>2784</v>
      </c>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5" t="s">
        <v>2789</v>
      </c>
      <c r="EX1" s="45"/>
      <c r="EY1" s="45"/>
      <c r="EZ1" s="45"/>
      <c r="FA1" s="45"/>
      <c r="FB1" s="45"/>
      <c r="FC1" s="45"/>
      <c r="FD1" s="45"/>
      <c r="FE1" s="45"/>
      <c r="FF1" s="45"/>
      <c r="FG1" s="45"/>
      <c r="FH1" s="45"/>
      <c r="FI1" s="45"/>
      <c r="FJ1" s="46" t="s">
        <v>1166</v>
      </c>
      <c r="FK1" s="46"/>
      <c r="FL1" s="46"/>
      <c r="FM1" s="46"/>
      <c r="FN1" s="46"/>
      <c r="FO1" s="46"/>
      <c r="FP1" s="46"/>
      <c r="FQ1" s="46"/>
      <c r="FR1" s="46"/>
      <c r="FS1" s="46"/>
      <c r="FT1" s="46"/>
      <c r="FU1" s="46"/>
      <c r="FV1" s="46"/>
      <c r="FW1" s="46"/>
      <c r="FX1" s="46"/>
      <c r="FY1" s="46"/>
      <c r="FZ1" s="46"/>
      <c r="GA1" s="46"/>
      <c r="GB1" s="47" t="s">
        <v>2790</v>
      </c>
      <c r="GC1" s="47"/>
      <c r="GD1" s="47"/>
      <c r="GE1" s="47"/>
      <c r="GF1" s="47"/>
      <c r="GG1" s="47"/>
      <c r="GH1" s="47"/>
      <c r="GI1" s="47"/>
      <c r="GJ1" s="47"/>
      <c r="GK1" s="47"/>
      <c r="GL1" s="47"/>
      <c r="GM1" s="47"/>
      <c r="GN1" s="47"/>
      <c r="GO1" s="47"/>
      <c r="GP1" s="47"/>
      <c r="GQ1" s="47"/>
      <c r="GR1" s="47"/>
      <c r="GS1" s="47"/>
      <c r="GT1" s="47"/>
      <c r="GU1" s="47"/>
      <c r="GV1" s="47"/>
      <c r="GW1" s="47"/>
    </row>
    <row r="2" spans="1:205" ht="27.95" customHeight="1" x14ac:dyDescent="0.25">
      <c r="A2" s="48" t="s">
        <v>923</v>
      </c>
      <c r="B2" s="49" t="s">
        <v>925</v>
      </c>
      <c r="C2" s="48" t="s">
        <v>927</v>
      </c>
      <c r="D2" s="48" t="s">
        <v>929</v>
      </c>
      <c r="E2" s="48" t="s">
        <v>930</v>
      </c>
      <c r="F2" s="49" t="s">
        <v>932</v>
      </c>
      <c r="G2" s="48" t="s">
        <v>934</v>
      </c>
      <c r="H2" s="48" t="s">
        <v>936</v>
      </c>
      <c r="I2" s="48" t="s">
        <v>937</v>
      </c>
      <c r="J2" s="48" t="s">
        <v>939</v>
      </c>
      <c r="K2" s="50" t="s">
        <v>941</v>
      </c>
      <c r="L2" s="50" t="s">
        <v>2773</v>
      </c>
      <c r="M2" s="50" t="s">
        <v>2774</v>
      </c>
      <c r="N2" s="50" t="s">
        <v>2775</v>
      </c>
      <c r="O2" s="50" t="s">
        <v>2776</v>
      </c>
      <c r="P2" s="50" t="s">
        <v>2777</v>
      </c>
      <c r="Q2" s="50" t="s">
        <v>2778</v>
      </c>
      <c r="R2" s="50" t="s">
        <v>2779</v>
      </c>
      <c r="S2" s="50" t="s">
        <v>943</v>
      </c>
      <c r="T2" s="51" t="s">
        <v>945</v>
      </c>
      <c r="U2" s="51" t="s">
        <v>947</v>
      </c>
      <c r="V2" s="51" t="s">
        <v>949</v>
      </c>
      <c r="W2" s="51" t="s">
        <v>951</v>
      </c>
      <c r="X2" s="52" t="s">
        <v>953</v>
      </c>
      <c r="Y2" s="52" t="s">
        <v>955</v>
      </c>
      <c r="Z2" s="52" t="s">
        <v>958</v>
      </c>
      <c r="AA2" s="52" t="s">
        <v>960</v>
      </c>
      <c r="AB2" s="52" t="s">
        <v>961</v>
      </c>
      <c r="AC2" s="52" t="s">
        <v>963</v>
      </c>
      <c r="AD2" s="52" t="s">
        <v>965</v>
      </c>
      <c r="AE2" s="53" t="s">
        <v>967</v>
      </c>
      <c r="AF2" s="53" t="s">
        <v>967</v>
      </c>
      <c r="AG2" s="53" t="s">
        <v>967</v>
      </c>
      <c r="AH2" s="53" t="s">
        <v>967</v>
      </c>
      <c r="AI2" s="53" t="s">
        <v>967</v>
      </c>
      <c r="AJ2" s="53" t="s">
        <v>969</v>
      </c>
      <c r="AK2" s="53" t="s">
        <v>971</v>
      </c>
      <c r="AL2" s="53" t="s">
        <v>973</v>
      </c>
      <c r="AM2" s="53" t="s">
        <v>975</v>
      </c>
      <c r="AN2" s="53" t="s">
        <v>977</v>
      </c>
      <c r="AO2" s="53" t="s">
        <v>979</v>
      </c>
      <c r="AP2" s="53" t="s">
        <v>981</v>
      </c>
      <c r="AQ2" s="53" t="s">
        <v>984</v>
      </c>
      <c r="AR2" s="53" t="s">
        <v>986</v>
      </c>
      <c r="AS2" s="53" t="s">
        <v>988</v>
      </c>
      <c r="AT2" s="53" t="s">
        <v>989</v>
      </c>
      <c r="AU2" s="53" t="s">
        <v>989</v>
      </c>
      <c r="AV2" s="53" t="s">
        <v>989</v>
      </c>
      <c r="AW2" s="53" t="s">
        <v>989</v>
      </c>
      <c r="AX2" s="53" t="s">
        <v>989</v>
      </c>
      <c r="AY2" s="53" t="s">
        <v>991</v>
      </c>
      <c r="AZ2" s="53" t="s">
        <v>993</v>
      </c>
      <c r="BA2" s="53" t="s">
        <v>993</v>
      </c>
      <c r="BB2" s="53" t="s">
        <v>993</v>
      </c>
      <c r="BC2" s="53" t="s">
        <v>993</v>
      </c>
      <c r="BD2" s="53" t="s">
        <v>996</v>
      </c>
      <c r="BE2" s="53" t="s">
        <v>998</v>
      </c>
      <c r="BF2" s="53" t="s">
        <v>1000</v>
      </c>
      <c r="BG2" s="53" t="s">
        <v>1002</v>
      </c>
      <c r="BH2" s="53" t="s">
        <v>1004</v>
      </c>
      <c r="BI2" s="53" t="s">
        <v>1006</v>
      </c>
      <c r="BJ2" s="53" t="s">
        <v>1008</v>
      </c>
      <c r="BK2" s="54" t="s">
        <v>1010</v>
      </c>
      <c r="BL2" s="54" t="s">
        <v>1012</v>
      </c>
      <c r="BM2" s="54" t="s">
        <v>1015</v>
      </c>
      <c r="BN2" s="54" t="s">
        <v>1017</v>
      </c>
      <c r="BO2" s="54" t="s">
        <v>1019</v>
      </c>
      <c r="BP2" s="54" t="s">
        <v>1021</v>
      </c>
      <c r="BQ2" s="54" t="s">
        <v>1023</v>
      </c>
      <c r="BR2" s="54" t="s">
        <v>1025</v>
      </c>
      <c r="BS2" s="54" t="s">
        <v>1027</v>
      </c>
      <c r="BT2" s="54" t="s">
        <v>1029</v>
      </c>
      <c r="BU2" s="54" t="s">
        <v>1031</v>
      </c>
      <c r="BV2" s="54" t="s">
        <v>1033</v>
      </c>
      <c r="BW2" s="54" t="s">
        <v>1035</v>
      </c>
      <c r="BX2" s="54" t="s">
        <v>1037</v>
      </c>
      <c r="BY2" s="54" t="s">
        <v>1039</v>
      </c>
      <c r="BZ2" s="54" t="s">
        <v>1041</v>
      </c>
      <c r="CA2" s="54" t="s">
        <v>1043</v>
      </c>
      <c r="CB2" s="54" t="s">
        <v>1045</v>
      </c>
      <c r="CC2" s="54" t="s">
        <v>1048</v>
      </c>
      <c r="CD2" s="54" t="s">
        <v>1050</v>
      </c>
      <c r="CE2" s="54" t="s">
        <v>1052</v>
      </c>
      <c r="CF2" s="54" t="s">
        <v>1054</v>
      </c>
      <c r="CG2" s="54" t="s">
        <v>1056</v>
      </c>
      <c r="CH2" s="55" t="s">
        <v>1058</v>
      </c>
      <c r="CI2" s="55" t="s">
        <v>1061</v>
      </c>
      <c r="CJ2" s="55" t="s">
        <v>1063</v>
      </c>
      <c r="CK2" s="55" t="s">
        <v>1065</v>
      </c>
      <c r="CL2" s="55" t="s">
        <v>1067</v>
      </c>
      <c r="CM2" s="55" t="s">
        <v>1069</v>
      </c>
      <c r="CN2" s="55" t="s">
        <v>1071</v>
      </c>
      <c r="CO2" s="55" t="s">
        <v>1074</v>
      </c>
      <c r="CP2" s="55" t="s">
        <v>1076</v>
      </c>
      <c r="CQ2" s="56" t="s">
        <v>1078</v>
      </c>
      <c r="CR2" s="56" t="s">
        <v>1080</v>
      </c>
      <c r="CS2" s="56" t="s">
        <v>1082</v>
      </c>
      <c r="CT2" s="56" t="s">
        <v>1084</v>
      </c>
      <c r="CU2" s="56" t="s">
        <v>1085</v>
      </c>
      <c r="CV2" s="56" t="s">
        <v>1087</v>
      </c>
      <c r="CW2" s="56" t="s">
        <v>1089</v>
      </c>
      <c r="CX2" s="56" t="s">
        <v>1091</v>
      </c>
      <c r="CY2" s="56" t="s">
        <v>1093</v>
      </c>
      <c r="CZ2" s="56" t="s">
        <v>1094</v>
      </c>
      <c r="DA2" s="56" t="s">
        <v>1094</v>
      </c>
      <c r="DB2" s="56" t="s">
        <v>1094</v>
      </c>
      <c r="DC2" s="56" t="s">
        <v>1096</v>
      </c>
      <c r="DD2" s="56" t="s">
        <v>1098</v>
      </c>
      <c r="DE2" s="56" t="s">
        <v>1098</v>
      </c>
      <c r="DF2" s="56" t="s">
        <v>1098</v>
      </c>
      <c r="DG2" s="56" t="s">
        <v>1100</v>
      </c>
      <c r="DH2" s="56" t="s">
        <v>1102</v>
      </c>
      <c r="DI2" s="56" t="s">
        <v>1104</v>
      </c>
      <c r="DJ2" s="56" t="s">
        <v>1106</v>
      </c>
      <c r="DK2" s="56" t="s">
        <v>1108</v>
      </c>
      <c r="DL2" s="56" t="s">
        <v>1110</v>
      </c>
      <c r="DM2" s="56" t="s">
        <v>1112</v>
      </c>
      <c r="DN2" s="56" t="s">
        <v>1113</v>
      </c>
      <c r="DO2" s="56" t="s">
        <v>1114</v>
      </c>
      <c r="DP2" s="56" t="s">
        <v>1115</v>
      </c>
      <c r="DQ2" s="56" t="s">
        <v>1116</v>
      </c>
      <c r="DR2" s="56" t="s">
        <v>1116</v>
      </c>
      <c r="DS2" s="56" t="s">
        <v>1116</v>
      </c>
      <c r="DT2" s="56" t="s">
        <v>1116</v>
      </c>
      <c r="DU2" s="56" t="s">
        <v>1116</v>
      </c>
      <c r="DV2" s="56" t="s">
        <v>1118</v>
      </c>
      <c r="DW2" s="56" t="s">
        <v>1120</v>
      </c>
      <c r="DX2" s="56" t="s">
        <v>1122</v>
      </c>
      <c r="DY2" s="56" t="s">
        <v>1125</v>
      </c>
      <c r="DZ2" s="56" t="s">
        <v>1127</v>
      </c>
      <c r="EA2" s="56" t="s">
        <v>1128</v>
      </c>
      <c r="EB2" s="56" t="s">
        <v>1128</v>
      </c>
      <c r="EC2" s="56" t="s">
        <v>1128</v>
      </c>
      <c r="ED2" s="56" t="s">
        <v>1130</v>
      </c>
      <c r="EE2" s="56" t="s">
        <v>1131</v>
      </c>
      <c r="EF2" s="56" t="s">
        <v>1131</v>
      </c>
      <c r="EG2" s="56" t="s">
        <v>1131</v>
      </c>
      <c r="EH2" s="56" t="s">
        <v>1133</v>
      </c>
      <c r="EI2" s="56" t="s">
        <v>1136</v>
      </c>
      <c r="EJ2" s="56" t="s">
        <v>2785</v>
      </c>
      <c r="EK2" s="56" t="s">
        <v>2786</v>
      </c>
      <c r="EL2" s="56" t="s">
        <v>2787</v>
      </c>
      <c r="EM2" s="56" t="s">
        <v>2788</v>
      </c>
      <c r="EN2" s="56" t="s">
        <v>1137</v>
      </c>
      <c r="EO2" s="56" t="s">
        <v>1137</v>
      </c>
      <c r="EP2" s="56" t="s">
        <v>1137</v>
      </c>
      <c r="EQ2" s="56" t="s">
        <v>1139</v>
      </c>
      <c r="ER2" s="56" t="s">
        <v>1139</v>
      </c>
      <c r="ES2" s="56" t="s">
        <v>1139</v>
      </c>
      <c r="ET2" s="56" t="s">
        <v>1140</v>
      </c>
      <c r="EU2" s="56" t="s">
        <v>1140</v>
      </c>
      <c r="EV2" s="56" t="s">
        <v>1140</v>
      </c>
      <c r="EW2" s="57" t="s">
        <v>1142</v>
      </c>
      <c r="EX2" s="57" t="s">
        <v>1144</v>
      </c>
      <c r="EY2" s="57" t="s">
        <v>1146</v>
      </c>
      <c r="EZ2" s="57" t="s">
        <v>1147</v>
      </c>
      <c r="FA2" s="57" t="s">
        <v>1149</v>
      </c>
      <c r="FB2" s="57" t="s">
        <v>1151</v>
      </c>
      <c r="FC2" s="57" t="s">
        <v>1153</v>
      </c>
      <c r="FD2" s="57" t="s">
        <v>1155</v>
      </c>
      <c r="FE2" s="57" t="s">
        <v>1157</v>
      </c>
      <c r="FF2" s="57" t="s">
        <v>1159</v>
      </c>
      <c r="FG2" s="57" t="s">
        <v>1161</v>
      </c>
      <c r="FH2" s="57" t="s">
        <v>1163</v>
      </c>
      <c r="FI2" s="57" t="s">
        <v>1165</v>
      </c>
      <c r="FJ2" s="58" t="s">
        <v>1168</v>
      </c>
      <c r="FK2" s="58" t="s">
        <v>1170</v>
      </c>
      <c r="FL2" s="58" t="s">
        <v>1172</v>
      </c>
      <c r="FM2" s="58" t="s">
        <v>1174</v>
      </c>
      <c r="FN2" s="58" t="s">
        <v>1176</v>
      </c>
      <c r="FO2" s="58" t="s">
        <v>1178</v>
      </c>
      <c r="FP2" s="58" t="s">
        <v>1180</v>
      </c>
      <c r="FQ2" s="58" t="s">
        <v>1182</v>
      </c>
      <c r="FR2" s="58" t="s">
        <v>1184</v>
      </c>
      <c r="FS2" s="58" t="s">
        <v>1186</v>
      </c>
      <c r="FT2" s="58" t="s">
        <v>1188</v>
      </c>
      <c r="FU2" s="58" t="s">
        <v>1190</v>
      </c>
      <c r="FV2" s="58" t="s">
        <v>1192</v>
      </c>
      <c r="FW2" s="58" t="s">
        <v>1194</v>
      </c>
      <c r="FX2" s="58" t="s">
        <v>1196</v>
      </c>
      <c r="FY2" s="58" t="s">
        <v>1198</v>
      </c>
      <c r="FZ2" s="58" t="s">
        <v>1200</v>
      </c>
      <c r="GA2" s="58" t="s">
        <v>1202</v>
      </c>
      <c r="GB2" s="59" t="s">
        <v>1204</v>
      </c>
      <c r="GC2" s="59" t="s">
        <v>1206</v>
      </c>
      <c r="GD2" s="59" t="s">
        <v>1209</v>
      </c>
      <c r="GE2" s="59" t="s">
        <v>1211</v>
      </c>
      <c r="GF2" s="59" t="s">
        <v>2791</v>
      </c>
      <c r="GG2" s="59" t="s">
        <v>2792</v>
      </c>
      <c r="GH2" s="59" t="s">
        <v>2793</v>
      </c>
      <c r="GI2" s="59" t="s">
        <v>2794</v>
      </c>
      <c r="GJ2" s="59" t="s">
        <v>2795</v>
      </c>
      <c r="GK2" s="59" t="s">
        <v>2796</v>
      </c>
      <c r="GL2" s="59" t="s">
        <v>2797</v>
      </c>
      <c r="GM2" s="59" t="s">
        <v>2798</v>
      </c>
      <c r="GN2" s="59" t="s">
        <v>1213</v>
      </c>
      <c r="GO2" s="59" t="s">
        <v>1215</v>
      </c>
      <c r="GP2" s="59" t="s">
        <v>1217</v>
      </c>
      <c r="GQ2" s="59" t="s">
        <v>1219</v>
      </c>
      <c r="GR2" s="59" t="s">
        <v>1221</v>
      </c>
      <c r="GS2" s="59" t="s">
        <v>1223</v>
      </c>
      <c r="GT2" s="59" t="s">
        <v>2799</v>
      </c>
      <c r="GU2" s="59" t="s">
        <v>2800</v>
      </c>
      <c r="GV2" s="59" t="s">
        <v>2801</v>
      </c>
      <c r="GW2" s="59" t="s">
        <v>2802</v>
      </c>
    </row>
    <row r="3" spans="1:205" x14ac:dyDescent="0.25">
      <c r="A3" s="48" t="s">
        <v>922</v>
      </c>
      <c r="B3" s="49" t="s">
        <v>924</v>
      </c>
      <c r="C3" s="48" t="s">
        <v>926</v>
      </c>
      <c r="D3" s="48" t="s">
        <v>928</v>
      </c>
      <c r="E3" s="48" t="s">
        <v>912</v>
      </c>
      <c r="F3" s="49" t="s">
        <v>931</v>
      </c>
      <c r="G3" s="48" t="s">
        <v>933</v>
      </c>
      <c r="H3" s="48" t="s">
        <v>935</v>
      </c>
      <c r="I3" s="48" t="s">
        <v>914</v>
      </c>
      <c r="J3" s="48" t="s">
        <v>938</v>
      </c>
      <c r="K3" s="50" t="s">
        <v>940</v>
      </c>
      <c r="L3" s="50" t="s">
        <v>2734</v>
      </c>
      <c r="M3" s="50" t="s">
        <v>2733</v>
      </c>
      <c r="N3" s="50" t="s">
        <v>2750</v>
      </c>
      <c r="O3" s="50" t="s">
        <v>2762</v>
      </c>
      <c r="P3" s="50" t="s">
        <v>2768</v>
      </c>
      <c r="Q3" s="50" t="s">
        <v>2769</v>
      </c>
      <c r="R3" s="50" t="s">
        <v>2757</v>
      </c>
      <c r="S3" s="50" t="s">
        <v>942</v>
      </c>
      <c r="T3" s="51" t="s">
        <v>944</v>
      </c>
      <c r="U3" s="51" t="s">
        <v>946</v>
      </c>
      <c r="V3" s="51" t="s">
        <v>948</v>
      </c>
      <c r="W3" s="51" t="s">
        <v>950</v>
      </c>
      <c r="X3" s="52" t="s">
        <v>952</v>
      </c>
      <c r="Y3" s="52" t="s">
        <v>954</v>
      </c>
      <c r="Z3" s="52" t="s">
        <v>957</v>
      </c>
      <c r="AA3" s="52" t="s">
        <v>959</v>
      </c>
      <c r="AB3" s="52" t="s">
        <v>961</v>
      </c>
      <c r="AC3" s="52" t="s">
        <v>962</v>
      </c>
      <c r="AD3" s="52" t="s">
        <v>964</v>
      </c>
      <c r="AE3" s="53" t="s">
        <v>2736</v>
      </c>
      <c r="AF3" s="53" t="s">
        <v>2746</v>
      </c>
      <c r="AG3" s="53" t="s">
        <v>2753</v>
      </c>
      <c r="AH3" s="53" t="s">
        <v>2766</v>
      </c>
      <c r="AI3" s="53" t="s">
        <v>2732</v>
      </c>
      <c r="AJ3" s="53" t="s">
        <v>968</v>
      </c>
      <c r="AK3" s="53" t="s">
        <v>970</v>
      </c>
      <c r="AL3" s="53" t="s">
        <v>972</v>
      </c>
      <c r="AM3" s="53" t="s">
        <v>974</v>
      </c>
      <c r="AN3" s="53" t="s">
        <v>976</v>
      </c>
      <c r="AO3" s="53" t="s">
        <v>978</v>
      </c>
      <c r="AP3" s="53" t="s">
        <v>980</v>
      </c>
      <c r="AQ3" s="53" t="s">
        <v>983</v>
      </c>
      <c r="AR3" s="53" t="s">
        <v>985</v>
      </c>
      <c r="AS3" s="53" t="s">
        <v>987</v>
      </c>
      <c r="AT3" s="53" t="s">
        <v>1227</v>
      </c>
      <c r="AU3" s="53" t="s">
        <v>2738</v>
      </c>
      <c r="AV3" s="53" t="s">
        <v>2751</v>
      </c>
      <c r="AW3" s="53" t="s">
        <v>2764</v>
      </c>
      <c r="AX3" s="53" t="s">
        <v>2729</v>
      </c>
      <c r="AY3" s="53" t="s">
        <v>990</v>
      </c>
      <c r="AZ3" s="53" t="s">
        <v>1231</v>
      </c>
      <c r="BA3" s="53" t="s">
        <v>2767</v>
      </c>
      <c r="BB3" s="53" t="s">
        <v>2754</v>
      </c>
      <c r="BC3" s="53" t="s">
        <v>2730</v>
      </c>
      <c r="BD3" s="53" t="s">
        <v>995</v>
      </c>
      <c r="BE3" s="53" t="s">
        <v>997</v>
      </c>
      <c r="BF3" s="53" t="s">
        <v>999</v>
      </c>
      <c r="BG3" s="53" t="s">
        <v>1001</v>
      </c>
      <c r="BH3" s="53" t="s">
        <v>1003</v>
      </c>
      <c r="BI3" s="53" t="s">
        <v>1005</v>
      </c>
      <c r="BJ3" s="53" t="s">
        <v>1007</v>
      </c>
      <c r="BK3" s="54" t="s">
        <v>1009</v>
      </c>
      <c r="BL3" s="54" t="s">
        <v>1011</v>
      </c>
      <c r="BM3" s="54" t="s">
        <v>1014</v>
      </c>
      <c r="BN3" s="54" t="s">
        <v>1016</v>
      </c>
      <c r="BO3" s="54" t="s">
        <v>1018</v>
      </c>
      <c r="BP3" s="54" t="s">
        <v>1020</v>
      </c>
      <c r="BQ3" s="54" t="s">
        <v>1022</v>
      </c>
      <c r="BR3" s="54" t="s">
        <v>1024</v>
      </c>
      <c r="BS3" s="54" t="s">
        <v>1026</v>
      </c>
      <c r="BT3" s="54" t="s">
        <v>1028</v>
      </c>
      <c r="BU3" s="54" t="s">
        <v>1030</v>
      </c>
      <c r="BV3" s="54" t="s">
        <v>1032</v>
      </c>
      <c r="BW3" s="54" t="s">
        <v>1034</v>
      </c>
      <c r="BX3" s="54" t="s">
        <v>1036</v>
      </c>
      <c r="BY3" s="54" t="s">
        <v>1038</v>
      </c>
      <c r="BZ3" s="54" t="s">
        <v>1040</v>
      </c>
      <c r="CA3" s="54" t="s">
        <v>1042</v>
      </c>
      <c r="CB3" s="54" t="s">
        <v>1044</v>
      </c>
      <c r="CC3" s="54" t="s">
        <v>1047</v>
      </c>
      <c r="CD3" s="54" t="s">
        <v>1049</v>
      </c>
      <c r="CE3" s="54" t="s">
        <v>1051</v>
      </c>
      <c r="CF3" s="54" t="s">
        <v>1053</v>
      </c>
      <c r="CG3" s="54" t="s">
        <v>1055</v>
      </c>
      <c r="CH3" s="55" t="s">
        <v>1057</v>
      </c>
      <c r="CI3" s="55" t="s">
        <v>1060</v>
      </c>
      <c r="CJ3" s="55" t="s">
        <v>1062</v>
      </c>
      <c r="CK3" s="55" t="s">
        <v>1064</v>
      </c>
      <c r="CL3" s="55" t="s">
        <v>1066</v>
      </c>
      <c r="CM3" s="55" t="s">
        <v>1068</v>
      </c>
      <c r="CN3" s="55" t="s">
        <v>1070</v>
      </c>
      <c r="CO3" s="55" t="s">
        <v>1073</v>
      </c>
      <c r="CP3" s="55" t="s">
        <v>1075</v>
      </c>
      <c r="CQ3" s="56" t="s">
        <v>1077</v>
      </c>
      <c r="CR3" s="56" t="s">
        <v>1079</v>
      </c>
      <c r="CS3" s="56" t="s">
        <v>1081</v>
      </c>
      <c r="CT3" s="56" t="s">
        <v>1083</v>
      </c>
      <c r="CU3" s="56" t="s">
        <v>1085</v>
      </c>
      <c r="CV3" s="56" t="s">
        <v>1086</v>
      </c>
      <c r="CW3" s="56" t="s">
        <v>1088</v>
      </c>
      <c r="CX3" s="56" t="s">
        <v>1090</v>
      </c>
      <c r="CY3" s="56" t="s">
        <v>1092</v>
      </c>
      <c r="CZ3" s="56" t="s">
        <v>1233</v>
      </c>
      <c r="DA3" s="56" t="s">
        <v>2719</v>
      </c>
      <c r="DB3" s="56" t="s">
        <v>2720</v>
      </c>
      <c r="DC3" s="56" t="s">
        <v>1096</v>
      </c>
      <c r="DD3" s="56" t="s">
        <v>2726</v>
      </c>
      <c r="DE3" s="56" t="s">
        <v>2728</v>
      </c>
      <c r="DF3" s="56" t="s">
        <v>2723</v>
      </c>
      <c r="DG3" s="56" t="s">
        <v>1099</v>
      </c>
      <c r="DH3" s="56" t="s">
        <v>1101</v>
      </c>
      <c r="DI3" s="56" t="s">
        <v>1103</v>
      </c>
      <c r="DJ3" s="56" t="s">
        <v>1105</v>
      </c>
      <c r="DK3" s="56" t="s">
        <v>1107</v>
      </c>
      <c r="DL3" s="56" t="s">
        <v>1109</v>
      </c>
      <c r="DM3" s="56" t="s">
        <v>1111</v>
      </c>
      <c r="DN3" s="56" t="s">
        <v>1113</v>
      </c>
      <c r="DO3" s="56" t="s">
        <v>1114</v>
      </c>
      <c r="DP3" s="56" t="s">
        <v>1115</v>
      </c>
      <c r="DQ3" s="56" t="s">
        <v>1228</v>
      </c>
      <c r="DR3" s="56" t="s">
        <v>2727</v>
      </c>
      <c r="DS3" s="56" t="s">
        <v>2724</v>
      </c>
      <c r="DT3" s="56" t="s">
        <v>2725</v>
      </c>
      <c r="DU3" s="56" t="s">
        <v>2718</v>
      </c>
      <c r="DV3" s="56" t="s">
        <v>1117</v>
      </c>
      <c r="DW3" s="56" t="s">
        <v>1119</v>
      </c>
      <c r="DX3" s="56" t="s">
        <v>1121</v>
      </c>
      <c r="DY3" s="56" t="s">
        <v>1124</v>
      </c>
      <c r="DZ3" s="56" t="s">
        <v>1126</v>
      </c>
      <c r="EA3" s="56" t="s">
        <v>1234</v>
      </c>
      <c r="EB3" s="56" t="s">
        <v>2744</v>
      </c>
      <c r="EC3" s="56" t="s">
        <v>2755</v>
      </c>
      <c r="ED3" s="56" t="s">
        <v>1129</v>
      </c>
      <c r="EE3" s="56" t="s">
        <v>1232</v>
      </c>
      <c r="EF3" s="56" t="s">
        <v>2721</v>
      </c>
      <c r="EG3" s="56" t="s">
        <v>2722</v>
      </c>
      <c r="EH3" s="56" t="s">
        <v>1132</v>
      </c>
      <c r="EI3" s="56" t="s">
        <v>1135</v>
      </c>
      <c r="EJ3" s="56" t="s">
        <v>2760</v>
      </c>
      <c r="EK3" s="56" t="s">
        <v>2749</v>
      </c>
      <c r="EL3" s="56" t="s">
        <v>2771</v>
      </c>
      <c r="EM3" s="56" t="s">
        <v>1226</v>
      </c>
      <c r="EN3" s="56" t="s">
        <v>1230</v>
      </c>
      <c r="EO3" s="56" t="s">
        <v>2745</v>
      </c>
      <c r="EP3" s="56" t="s">
        <v>2759</v>
      </c>
      <c r="EQ3" s="56" t="s">
        <v>1229</v>
      </c>
      <c r="ER3" s="56" t="s">
        <v>2747</v>
      </c>
      <c r="ES3" s="56" t="s">
        <v>2756</v>
      </c>
      <c r="ET3" s="56" t="s">
        <v>2731</v>
      </c>
      <c r="EU3" s="56" t="s">
        <v>2761</v>
      </c>
      <c r="EV3" s="56" t="s">
        <v>2741</v>
      </c>
      <c r="EW3" s="57" t="s">
        <v>1141</v>
      </c>
      <c r="EX3" s="57" t="s">
        <v>1143</v>
      </c>
      <c r="EY3" s="57" t="s">
        <v>1145</v>
      </c>
      <c r="EZ3" s="57" t="s">
        <v>215</v>
      </c>
      <c r="FA3" s="57" t="s">
        <v>1148</v>
      </c>
      <c r="FB3" s="57" t="s">
        <v>1150</v>
      </c>
      <c r="FC3" s="57" t="s">
        <v>1152</v>
      </c>
      <c r="FD3" s="57" t="s">
        <v>1154</v>
      </c>
      <c r="FE3" s="57" t="s">
        <v>1156</v>
      </c>
      <c r="FF3" s="57" t="s">
        <v>1158</v>
      </c>
      <c r="FG3" s="57" t="s">
        <v>1160</v>
      </c>
      <c r="FH3" s="57" t="s">
        <v>1162</v>
      </c>
      <c r="FI3" s="57" t="s">
        <v>1164</v>
      </c>
      <c r="FJ3" s="58" t="s">
        <v>1167</v>
      </c>
      <c r="FK3" s="58" t="s">
        <v>1169</v>
      </c>
      <c r="FL3" s="58" t="s">
        <v>1171</v>
      </c>
      <c r="FM3" s="58" t="s">
        <v>1173</v>
      </c>
      <c r="FN3" s="58" t="s">
        <v>1175</v>
      </c>
      <c r="FO3" s="58" t="s">
        <v>1177</v>
      </c>
      <c r="FP3" s="58" t="s">
        <v>1179</v>
      </c>
      <c r="FQ3" s="58" t="s">
        <v>1181</v>
      </c>
      <c r="FR3" s="58" t="s">
        <v>1183</v>
      </c>
      <c r="FS3" s="58" t="s">
        <v>1185</v>
      </c>
      <c r="FT3" s="58" t="s">
        <v>1187</v>
      </c>
      <c r="FU3" s="58" t="s">
        <v>1189</v>
      </c>
      <c r="FV3" s="58" t="s">
        <v>1191</v>
      </c>
      <c r="FW3" s="58" t="s">
        <v>1193</v>
      </c>
      <c r="FX3" s="58" t="s">
        <v>1195</v>
      </c>
      <c r="FY3" s="58" t="s">
        <v>1197</v>
      </c>
      <c r="FZ3" s="58" t="s">
        <v>1199</v>
      </c>
      <c r="GA3" s="58" t="s">
        <v>1201</v>
      </c>
      <c r="GB3" s="59" t="s">
        <v>1203</v>
      </c>
      <c r="GC3" s="59" t="s">
        <v>1205</v>
      </c>
      <c r="GD3" s="59" t="s">
        <v>1208</v>
      </c>
      <c r="GE3" s="59" t="s">
        <v>1210</v>
      </c>
      <c r="GF3" s="59" t="s">
        <v>2770</v>
      </c>
      <c r="GG3" s="59" t="s">
        <v>2739</v>
      </c>
      <c r="GH3" s="59" t="s">
        <v>2763</v>
      </c>
      <c r="GI3" s="59" t="s">
        <v>2758</v>
      </c>
      <c r="GJ3" s="59" t="s">
        <v>2735</v>
      </c>
      <c r="GK3" s="59" t="s">
        <v>2752</v>
      </c>
      <c r="GL3" s="59" t="s">
        <v>2742</v>
      </c>
      <c r="GM3" s="59" t="s">
        <v>2737</v>
      </c>
      <c r="GN3" s="59" t="s">
        <v>1212</v>
      </c>
      <c r="GO3" s="59" t="s">
        <v>1214</v>
      </c>
      <c r="GP3" s="59" t="s">
        <v>1216</v>
      </c>
      <c r="GQ3" s="59" t="s">
        <v>1218</v>
      </c>
      <c r="GR3" s="59" t="s">
        <v>1220</v>
      </c>
      <c r="GS3" s="59" t="s">
        <v>1222</v>
      </c>
      <c r="GT3" s="59" t="s">
        <v>2743</v>
      </c>
      <c r="GU3" s="59" t="s">
        <v>2748</v>
      </c>
      <c r="GV3" s="59" t="s">
        <v>2765</v>
      </c>
      <c r="GW3" s="59" t="s">
        <v>2740</v>
      </c>
    </row>
    <row r="4" spans="1:205" x14ac:dyDescent="0.25">
      <c r="A4" s="34" t="s">
        <v>1225</v>
      </c>
      <c r="B4" s="35" t="s">
        <v>2822</v>
      </c>
      <c r="C4" s="34" t="s">
        <v>2812</v>
      </c>
      <c r="D4" s="34" t="s">
        <v>2826</v>
      </c>
      <c r="E4" s="34" t="s">
        <v>2812</v>
      </c>
      <c r="H4" s="34" t="s">
        <v>1268</v>
      </c>
      <c r="I4" s="34">
        <f>I5+I6+I7</f>
        <v>749</v>
      </c>
      <c r="J4" s="60" t="s">
        <v>2827</v>
      </c>
      <c r="K4" s="34" t="s">
        <v>2828</v>
      </c>
      <c r="L4" s="34" t="s">
        <v>2829</v>
      </c>
      <c r="M4" s="34" t="s">
        <v>2830</v>
      </c>
      <c r="N4" s="34" t="s">
        <v>2831</v>
      </c>
      <c r="T4" s="34" t="s">
        <v>1264</v>
      </c>
      <c r="U4" s="35" t="s">
        <v>2822</v>
      </c>
      <c r="V4" s="34" t="s">
        <v>921</v>
      </c>
      <c r="W4" s="34" t="s">
        <v>984</v>
      </c>
      <c r="Y4" s="34" t="s">
        <v>1260</v>
      </c>
      <c r="Z4" s="60" t="s">
        <v>2813</v>
      </c>
      <c r="AE4" s="60" t="s">
        <v>2814</v>
      </c>
      <c r="AF4" s="60" t="s">
        <v>2815</v>
      </c>
      <c r="AG4" s="60" t="s">
        <v>2816</v>
      </c>
      <c r="AH4" s="60" t="s">
        <v>2817</v>
      </c>
      <c r="AI4" s="60" t="s">
        <v>2818</v>
      </c>
      <c r="AJ4" s="34" t="s">
        <v>2832</v>
      </c>
      <c r="EW4" s="34" t="s">
        <v>1296</v>
      </c>
    </row>
    <row r="5" spans="1:205" x14ac:dyDescent="0.25">
      <c r="A5" s="34" t="s">
        <v>1225</v>
      </c>
      <c r="B5" s="35" t="s">
        <v>2823</v>
      </c>
      <c r="C5" s="34" t="s">
        <v>2812</v>
      </c>
      <c r="D5" s="34" t="s">
        <v>2826</v>
      </c>
      <c r="E5" s="34" t="s">
        <v>2812</v>
      </c>
      <c r="H5" s="34" t="s">
        <v>1268</v>
      </c>
      <c r="I5" s="34">
        <v>215</v>
      </c>
      <c r="J5" s="60" t="s">
        <v>2827</v>
      </c>
      <c r="K5" s="34" t="s">
        <v>2828</v>
      </c>
      <c r="L5" s="34" t="s">
        <v>2829</v>
      </c>
      <c r="M5" s="34" t="s">
        <v>2830</v>
      </c>
      <c r="N5" s="34" t="s">
        <v>2831</v>
      </c>
      <c r="T5" s="34" t="s">
        <v>1302</v>
      </c>
      <c r="U5" s="35" t="s">
        <v>2822</v>
      </c>
      <c r="V5" s="34" t="s">
        <v>921</v>
      </c>
      <c r="W5" s="34" t="s">
        <v>984</v>
      </c>
      <c r="Y5" s="34" t="s">
        <v>1260</v>
      </c>
      <c r="Z5" s="60" t="s">
        <v>2813</v>
      </c>
      <c r="AE5" s="60" t="s">
        <v>2814</v>
      </c>
      <c r="AF5" s="60" t="s">
        <v>2815</v>
      </c>
      <c r="AG5" s="60" t="s">
        <v>2816</v>
      </c>
      <c r="AH5" s="60" t="s">
        <v>2817</v>
      </c>
      <c r="AI5" s="60" t="s">
        <v>2818</v>
      </c>
      <c r="AJ5" s="34" t="s">
        <v>2832</v>
      </c>
      <c r="AQ5" s="34" t="s">
        <v>2819</v>
      </c>
      <c r="BL5" s="34" t="s">
        <v>1290</v>
      </c>
      <c r="BM5" s="34" t="s">
        <v>918</v>
      </c>
      <c r="BN5" s="34" t="s">
        <v>918</v>
      </c>
      <c r="BP5" s="34">
        <v>40</v>
      </c>
      <c r="BQ5" s="34">
        <v>30</v>
      </c>
      <c r="EW5" s="34" t="s">
        <v>1296</v>
      </c>
      <c r="FN5" s="34">
        <v>29.99</v>
      </c>
    </row>
    <row r="6" spans="1:205" x14ac:dyDescent="0.25">
      <c r="A6" s="34" t="s">
        <v>1225</v>
      </c>
      <c r="B6" s="35" t="s">
        <v>2824</v>
      </c>
      <c r="C6" s="34" t="s">
        <v>2812</v>
      </c>
      <c r="D6" s="34" t="s">
        <v>2826</v>
      </c>
      <c r="E6" s="34" t="s">
        <v>2812</v>
      </c>
      <c r="H6" s="34" t="s">
        <v>1268</v>
      </c>
      <c r="I6" s="34">
        <v>283</v>
      </c>
      <c r="J6" s="60" t="s">
        <v>2827</v>
      </c>
      <c r="K6" s="34" t="s">
        <v>2828</v>
      </c>
      <c r="L6" s="34" t="s">
        <v>2829</v>
      </c>
      <c r="M6" s="34" t="s">
        <v>2830</v>
      </c>
      <c r="N6" s="34" t="s">
        <v>2831</v>
      </c>
      <c r="T6" s="34" t="s">
        <v>1302</v>
      </c>
      <c r="U6" s="35" t="s">
        <v>2822</v>
      </c>
      <c r="V6" s="34" t="s">
        <v>921</v>
      </c>
      <c r="W6" s="34" t="s">
        <v>984</v>
      </c>
      <c r="Y6" s="34" t="s">
        <v>1260</v>
      </c>
      <c r="Z6" s="60" t="s">
        <v>2813</v>
      </c>
      <c r="AE6" s="60" t="s">
        <v>2814</v>
      </c>
      <c r="AF6" s="60" t="s">
        <v>2815</v>
      </c>
      <c r="AG6" s="60" t="s">
        <v>2816</v>
      </c>
      <c r="AH6" s="60" t="s">
        <v>2817</v>
      </c>
      <c r="AI6" s="60" t="s">
        <v>2818</v>
      </c>
      <c r="AJ6" s="34" t="s">
        <v>2832</v>
      </c>
      <c r="AQ6" s="34" t="s">
        <v>2820</v>
      </c>
      <c r="BL6" s="34" t="s">
        <v>1290</v>
      </c>
      <c r="BM6" s="34" t="s">
        <v>918</v>
      </c>
      <c r="BN6" s="34" t="s">
        <v>918</v>
      </c>
      <c r="BP6" s="34">
        <v>60</v>
      </c>
      <c r="BQ6" s="34">
        <v>50</v>
      </c>
      <c r="EW6" s="34" t="s">
        <v>1296</v>
      </c>
      <c r="FN6" s="34">
        <v>35.99</v>
      </c>
    </row>
    <row r="7" spans="1:205" x14ac:dyDescent="0.25">
      <c r="A7" s="34" t="s">
        <v>1225</v>
      </c>
      <c r="B7" s="35" t="s">
        <v>2825</v>
      </c>
      <c r="C7" s="34" t="s">
        <v>2812</v>
      </c>
      <c r="D7" s="34" t="s">
        <v>2826</v>
      </c>
      <c r="E7" s="34" t="s">
        <v>2812</v>
      </c>
      <c r="H7" s="34" t="s">
        <v>1268</v>
      </c>
      <c r="I7" s="34">
        <v>251</v>
      </c>
      <c r="J7" s="60" t="s">
        <v>2827</v>
      </c>
      <c r="K7" s="34" t="s">
        <v>2828</v>
      </c>
      <c r="L7" s="34" t="s">
        <v>2829</v>
      </c>
      <c r="M7" s="34" t="s">
        <v>2830</v>
      </c>
      <c r="N7" s="34" t="s">
        <v>2831</v>
      </c>
      <c r="T7" s="34" t="s">
        <v>1302</v>
      </c>
      <c r="U7" s="35" t="s">
        <v>2822</v>
      </c>
      <c r="V7" s="34" t="s">
        <v>921</v>
      </c>
      <c r="W7" s="34" t="s">
        <v>984</v>
      </c>
      <c r="Y7" s="34" t="s">
        <v>1260</v>
      </c>
      <c r="Z7" s="60" t="s">
        <v>2813</v>
      </c>
      <c r="AE7" s="60" t="s">
        <v>2814</v>
      </c>
      <c r="AF7" s="60" t="s">
        <v>2815</v>
      </c>
      <c r="AG7" s="60" t="s">
        <v>2816</v>
      </c>
      <c r="AH7" s="60" t="s">
        <v>2817</v>
      </c>
      <c r="AI7" s="60" t="s">
        <v>2818</v>
      </c>
      <c r="AJ7" s="34" t="s">
        <v>2832</v>
      </c>
      <c r="AQ7" s="34" t="s">
        <v>2821</v>
      </c>
      <c r="BL7" s="34" t="s">
        <v>1290</v>
      </c>
      <c r="BM7" s="34" t="s">
        <v>918</v>
      </c>
      <c r="BN7" s="34" t="s">
        <v>918</v>
      </c>
      <c r="BP7" s="34">
        <v>80</v>
      </c>
      <c r="BQ7" s="34">
        <v>60</v>
      </c>
      <c r="EW7" s="34" t="s">
        <v>1296</v>
      </c>
      <c r="FN7" s="34">
        <v>39.99</v>
      </c>
    </row>
    <row r="9" spans="1:205" x14ac:dyDescent="0.25">
      <c r="A9" s="34" t="s">
        <v>1225</v>
      </c>
      <c r="B9" s="35" t="s">
        <v>2834</v>
      </c>
      <c r="C9" s="34" t="s">
        <v>2812</v>
      </c>
      <c r="D9" s="34" t="s">
        <v>2846</v>
      </c>
      <c r="E9" s="34" t="s">
        <v>2812</v>
      </c>
      <c r="H9" s="34" t="s">
        <v>1268</v>
      </c>
      <c r="I9" s="34">
        <f>I10+I11+I12</f>
        <v>724</v>
      </c>
      <c r="J9" s="60" t="s">
        <v>2841</v>
      </c>
      <c r="K9" s="34" t="s">
        <v>2842</v>
      </c>
      <c r="L9" s="34" t="s">
        <v>2843</v>
      </c>
      <c r="M9" s="34" t="s">
        <v>2844</v>
      </c>
      <c r="N9" s="34" t="s">
        <v>2845</v>
      </c>
      <c r="T9" s="34" t="s">
        <v>1264</v>
      </c>
      <c r="U9" s="35" t="s">
        <v>2834</v>
      </c>
      <c r="V9" s="34" t="s">
        <v>921</v>
      </c>
      <c r="W9" s="34" t="s">
        <v>984</v>
      </c>
      <c r="Y9" s="34" t="s">
        <v>1260</v>
      </c>
      <c r="Z9" s="60" t="s">
        <v>2813</v>
      </c>
      <c r="AE9" s="60" t="s">
        <v>2814</v>
      </c>
      <c r="AF9" s="60" t="s">
        <v>2815</v>
      </c>
      <c r="AG9" s="60" t="s">
        <v>2816</v>
      </c>
      <c r="AH9" s="60" t="s">
        <v>2817</v>
      </c>
      <c r="AI9" s="60" t="s">
        <v>2818</v>
      </c>
      <c r="AJ9" s="34" t="s">
        <v>2847</v>
      </c>
      <c r="EW9" s="34" t="s">
        <v>1296</v>
      </c>
    </row>
    <row r="10" spans="1:205" x14ac:dyDescent="0.25">
      <c r="A10" s="34" t="s">
        <v>1225</v>
      </c>
      <c r="B10" s="35" t="s">
        <v>2835</v>
      </c>
      <c r="C10" s="34" t="s">
        <v>2812</v>
      </c>
      <c r="D10" s="34" t="s">
        <v>2846</v>
      </c>
      <c r="E10" s="34" t="s">
        <v>2812</v>
      </c>
      <c r="H10" s="34" t="s">
        <v>1268</v>
      </c>
      <c r="I10" s="34">
        <v>206</v>
      </c>
      <c r="J10" s="60" t="s">
        <v>2841</v>
      </c>
      <c r="K10" s="34" t="s">
        <v>2842</v>
      </c>
      <c r="L10" s="34" t="s">
        <v>2843</v>
      </c>
      <c r="M10" s="34" t="s">
        <v>2844</v>
      </c>
      <c r="N10" s="34" t="s">
        <v>2845</v>
      </c>
      <c r="T10" s="34" t="s">
        <v>1302</v>
      </c>
      <c r="U10" s="35" t="s">
        <v>2834</v>
      </c>
      <c r="V10" s="34" t="s">
        <v>921</v>
      </c>
      <c r="W10" s="34" t="s">
        <v>984</v>
      </c>
      <c r="Y10" s="34" t="s">
        <v>1260</v>
      </c>
      <c r="Z10" s="60" t="s">
        <v>2813</v>
      </c>
      <c r="AE10" s="60" t="s">
        <v>2814</v>
      </c>
      <c r="AF10" s="60" t="s">
        <v>2815</v>
      </c>
      <c r="AG10" s="60" t="s">
        <v>2816</v>
      </c>
      <c r="AH10" s="60" t="s">
        <v>2817</v>
      </c>
      <c r="AI10" s="60" t="s">
        <v>2818</v>
      </c>
      <c r="AJ10" s="34" t="s">
        <v>2847</v>
      </c>
      <c r="AQ10" s="34" t="s">
        <v>2819</v>
      </c>
      <c r="BL10" s="34" t="s">
        <v>1290</v>
      </c>
      <c r="BM10" s="34" t="s">
        <v>918</v>
      </c>
      <c r="BN10" s="34" t="s">
        <v>918</v>
      </c>
      <c r="BP10" s="34">
        <v>40</v>
      </c>
      <c r="BQ10" s="34">
        <v>30</v>
      </c>
      <c r="EW10" s="34" t="s">
        <v>1296</v>
      </c>
      <c r="FN10" s="34">
        <v>29.99</v>
      </c>
    </row>
    <row r="11" spans="1:205" x14ac:dyDescent="0.25">
      <c r="A11" s="34" t="s">
        <v>1225</v>
      </c>
      <c r="B11" s="35" t="s">
        <v>2836</v>
      </c>
      <c r="C11" s="34" t="s">
        <v>2812</v>
      </c>
      <c r="D11" s="34" t="s">
        <v>2846</v>
      </c>
      <c r="E11" s="34" t="s">
        <v>2812</v>
      </c>
      <c r="H11" s="34" t="s">
        <v>1268</v>
      </c>
      <c r="I11" s="34">
        <v>243</v>
      </c>
      <c r="J11" s="60" t="s">
        <v>2841</v>
      </c>
      <c r="K11" s="34" t="s">
        <v>2842</v>
      </c>
      <c r="L11" s="34" t="s">
        <v>2843</v>
      </c>
      <c r="M11" s="34" t="s">
        <v>2844</v>
      </c>
      <c r="N11" s="34" t="s">
        <v>2845</v>
      </c>
      <c r="T11" s="34" t="s">
        <v>1302</v>
      </c>
      <c r="U11" s="35" t="s">
        <v>2834</v>
      </c>
      <c r="V11" s="34" t="s">
        <v>921</v>
      </c>
      <c r="W11" s="34" t="s">
        <v>984</v>
      </c>
      <c r="Y11" s="34" t="s">
        <v>1260</v>
      </c>
      <c r="Z11" s="60" t="s">
        <v>2813</v>
      </c>
      <c r="AE11" s="60" t="s">
        <v>2814</v>
      </c>
      <c r="AF11" s="60" t="s">
        <v>2815</v>
      </c>
      <c r="AG11" s="60" t="s">
        <v>2816</v>
      </c>
      <c r="AH11" s="60" t="s">
        <v>2817</v>
      </c>
      <c r="AI11" s="60" t="s">
        <v>2818</v>
      </c>
      <c r="AJ11" s="34" t="s">
        <v>2847</v>
      </c>
      <c r="AQ11" s="34" t="s">
        <v>2820</v>
      </c>
      <c r="BL11" s="34" t="s">
        <v>1290</v>
      </c>
      <c r="BM11" s="34" t="s">
        <v>918</v>
      </c>
      <c r="BN11" s="34" t="s">
        <v>918</v>
      </c>
      <c r="BP11" s="34">
        <v>60</v>
      </c>
      <c r="BQ11" s="34">
        <v>50</v>
      </c>
      <c r="EW11" s="34" t="s">
        <v>1296</v>
      </c>
      <c r="FN11" s="34">
        <v>35.99</v>
      </c>
    </row>
    <row r="12" spans="1:205" x14ac:dyDescent="0.25">
      <c r="A12" s="34" t="s">
        <v>1225</v>
      </c>
      <c r="B12" s="35" t="s">
        <v>2833</v>
      </c>
      <c r="C12" s="34" t="s">
        <v>2812</v>
      </c>
      <c r="D12" s="34" t="s">
        <v>2846</v>
      </c>
      <c r="E12" s="34" t="s">
        <v>2812</v>
      </c>
      <c r="H12" s="34" t="s">
        <v>1268</v>
      </c>
      <c r="I12" s="34">
        <v>275</v>
      </c>
      <c r="J12" s="60" t="s">
        <v>2841</v>
      </c>
      <c r="K12" s="34" t="s">
        <v>2842</v>
      </c>
      <c r="L12" s="34" t="s">
        <v>2843</v>
      </c>
      <c r="M12" s="34" t="s">
        <v>2844</v>
      </c>
      <c r="N12" s="34" t="s">
        <v>2845</v>
      </c>
      <c r="T12" s="34" t="s">
        <v>1302</v>
      </c>
      <c r="U12" s="35" t="s">
        <v>2834</v>
      </c>
      <c r="V12" s="34" t="s">
        <v>921</v>
      </c>
      <c r="W12" s="34" t="s">
        <v>984</v>
      </c>
      <c r="Y12" s="34" t="s">
        <v>1260</v>
      </c>
      <c r="Z12" s="60" t="s">
        <v>2813</v>
      </c>
      <c r="AE12" s="60" t="s">
        <v>2814</v>
      </c>
      <c r="AF12" s="60" t="s">
        <v>2815</v>
      </c>
      <c r="AG12" s="60" t="s">
        <v>2816</v>
      </c>
      <c r="AH12" s="60" t="s">
        <v>2817</v>
      </c>
      <c r="AI12" s="60" t="s">
        <v>2818</v>
      </c>
      <c r="AJ12" s="34" t="s">
        <v>2847</v>
      </c>
      <c r="AQ12" s="34" t="s">
        <v>2821</v>
      </c>
      <c r="BL12" s="34" t="s">
        <v>1290</v>
      </c>
      <c r="BM12" s="34" t="s">
        <v>918</v>
      </c>
      <c r="BN12" s="34" t="s">
        <v>918</v>
      </c>
      <c r="BP12" s="34">
        <v>80</v>
      </c>
      <c r="BQ12" s="34">
        <v>60</v>
      </c>
      <c r="EW12" s="34" t="s">
        <v>1296</v>
      </c>
      <c r="FN12" s="34">
        <v>39.99</v>
      </c>
    </row>
    <row r="14" spans="1:205" x14ac:dyDescent="0.25">
      <c r="A14" s="34" t="s">
        <v>1225</v>
      </c>
      <c r="B14" s="35" t="s">
        <v>2838</v>
      </c>
      <c r="C14" s="34" t="s">
        <v>2812</v>
      </c>
      <c r="D14" s="60" t="s">
        <v>2854</v>
      </c>
      <c r="E14" s="34" t="s">
        <v>2812</v>
      </c>
      <c r="H14" s="34" t="s">
        <v>1268</v>
      </c>
      <c r="I14" s="34">
        <f>I15+I16+I17</f>
        <v>793</v>
      </c>
      <c r="J14" s="60" t="s">
        <v>2848</v>
      </c>
      <c r="K14" s="34" t="s">
        <v>2849</v>
      </c>
      <c r="L14" s="34" t="s">
        <v>2850</v>
      </c>
      <c r="M14" s="34" t="s">
        <v>2851</v>
      </c>
      <c r="N14" s="34" t="s">
        <v>2852</v>
      </c>
      <c r="T14" s="34" t="s">
        <v>1264</v>
      </c>
      <c r="U14" s="35" t="s">
        <v>2838</v>
      </c>
      <c r="V14" s="34" t="s">
        <v>921</v>
      </c>
      <c r="W14" s="34" t="s">
        <v>984</v>
      </c>
      <c r="Y14" s="34" t="s">
        <v>1260</v>
      </c>
      <c r="Z14" s="60" t="s">
        <v>2813</v>
      </c>
      <c r="AE14" s="60" t="s">
        <v>2814</v>
      </c>
      <c r="AF14" s="60" t="s">
        <v>2815</v>
      </c>
      <c r="AG14" s="60" t="s">
        <v>2816</v>
      </c>
      <c r="AH14" s="60" t="s">
        <v>2817</v>
      </c>
      <c r="AI14" s="60" t="s">
        <v>2818</v>
      </c>
      <c r="AJ14" s="60" t="s">
        <v>2853</v>
      </c>
      <c r="EW14" s="34" t="s">
        <v>1296</v>
      </c>
    </row>
    <row r="15" spans="1:205" x14ac:dyDescent="0.25">
      <c r="A15" s="34" t="s">
        <v>1225</v>
      </c>
      <c r="B15" s="35" t="s">
        <v>2839</v>
      </c>
      <c r="C15" s="34" t="s">
        <v>2812</v>
      </c>
      <c r="D15" s="60" t="s">
        <v>2854</v>
      </c>
      <c r="E15" s="34" t="s">
        <v>2812</v>
      </c>
      <c r="H15" s="34" t="s">
        <v>1268</v>
      </c>
      <c r="I15" s="34">
        <v>294</v>
      </c>
      <c r="J15" s="60" t="s">
        <v>2848</v>
      </c>
      <c r="K15" s="34" t="s">
        <v>2849</v>
      </c>
      <c r="L15" s="34" t="s">
        <v>2850</v>
      </c>
      <c r="M15" s="34" t="s">
        <v>2851</v>
      </c>
      <c r="N15" s="34" t="s">
        <v>2852</v>
      </c>
      <c r="T15" s="34" t="s">
        <v>1302</v>
      </c>
      <c r="U15" s="35" t="s">
        <v>2838</v>
      </c>
      <c r="V15" s="34" t="s">
        <v>921</v>
      </c>
      <c r="W15" s="34" t="s">
        <v>984</v>
      </c>
      <c r="Y15" s="34" t="s">
        <v>1260</v>
      </c>
      <c r="Z15" s="60" t="s">
        <v>2813</v>
      </c>
      <c r="AE15" s="60" t="s">
        <v>2814</v>
      </c>
      <c r="AF15" s="60" t="s">
        <v>2815</v>
      </c>
      <c r="AG15" s="60" t="s">
        <v>2816</v>
      </c>
      <c r="AH15" s="60" t="s">
        <v>2817</v>
      </c>
      <c r="AI15" s="60" t="s">
        <v>2818</v>
      </c>
      <c r="AJ15" s="60" t="s">
        <v>2853</v>
      </c>
      <c r="AQ15" s="34" t="s">
        <v>2819</v>
      </c>
      <c r="BL15" s="34" t="s">
        <v>1290</v>
      </c>
      <c r="BM15" s="34" t="s">
        <v>918</v>
      </c>
      <c r="BN15" s="34" t="s">
        <v>918</v>
      </c>
      <c r="BP15" s="34">
        <v>40</v>
      </c>
      <c r="BQ15" s="34">
        <v>30</v>
      </c>
      <c r="EW15" s="34" t="s">
        <v>1296</v>
      </c>
      <c r="FN15" s="34">
        <v>29.99</v>
      </c>
    </row>
    <row r="16" spans="1:205" x14ac:dyDescent="0.25">
      <c r="A16" s="34" t="s">
        <v>1225</v>
      </c>
      <c r="B16" s="35" t="s">
        <v>2840</v>
      </c>
      <c r="C16" s="34" t="s">
        <v>2812</v>
      </c>
      <c r="D16" s="60" t="s">
        <v>2854</v>
      </c>
      <c r="E16" s="34" t="s">
        <v>2812</v>
      </c>
      <c r="H16" s="34" t="s">
        <v>1268</v>
      </c>
      <c r="I16" s="34">
        <v>237</v>
      </c>
      <c r="J16" s="60" t="s">
        <v>2848</v>
      </c>
      <c r="K16" s="34" t="s">
        <v>2849</v>
      </c>
      <c r="L16" s="34" t="s">
        <v>2850</v>
      </c>
      <c r="M16" s="34" t="s">
        <v>2851</v>
      </c>
      <c r="N16" s="34" t="s">
        <v>2852</v>
      </c>
      <c r="T16" s="34" t="s">
        <v>1302</v>
      </c>
      <c r="U16" s="35" t="s">
        <v>2838</v>
      </c>
      <c r="V16" s="34" t="s">
        <v>921</v>
      </c>
      <c r="W16" s="34" t="s">
        <v>984</v>
      </c>
      <c r="Y16" s="34" t="s">
        <v>1260</v>
      </c>
      <c r="Z16" s="60" t="s">
        <v>2813</v>
      </c>
      <c r="AE16" s="60" t="s">
        <v>2814</v>
      </c>
      <c r="AF16" s="60" t="s">
        <v>2815</v>
      </c>
      <c r="AG16" s="60" t="s">
        <v>2816</v>
      </c>
      <c r="AH16" s="60" t="s">
        <v>2817</v>
      </c>
      <c r="AI16" s="60" t="s">
        <v>2818</v>
      </c>
      <c r="AJ16" s="60" t="s">
        <v>2853</v>
      </c>
      <c r="AQ16" s="34" t="s">
        <v>2820</v>
      </c>
      <c r="BL16" s="34" t="s">
        <v>1290</v>
      </c>
      <c r="BM16" s="34" t="s">
        <v>918</v>
      </c>
      <c r="BN16" s="34" t="s">
        <v>918</v>
      </c>
      <c r="BP16" s="34">
        <v>60</v>
      </c>
      <c r="BQ16" s="34">
        <v>50</v>
      </c>
      <c r="EW16" s="34" t="s">
        <v>1296</v>
      </c>
      <c r="FN16" s="34">
        <v>35.99</v>
      </c>
    </row>
    <row r="17" spans="1:170" x14ac:dyDescent="0.25">
      <c r="A17" s="34" t="s">
        <v>1225</v>
      </c>
      <c r="B17" s="35" t="s">
        <v>2837</v>
      </c>
      <c r="C17" s="34" t="s">
        <v>2812</v>
      </c>
      <c r="D17" s="60" t="s">
        <v>2854</v>
      </c>
      <c r="E17" s="34" t="s">
        <v>2812</v>
      </c>
      <c r="H17" s="34" t="s">
        <v>1268</v>
      </c>
      <c r="I17" s="34">
        <v>262</v>
      </c>
      <c r="J17" s="60" t="s">
        <v>2848</v>
      </c>
      <c r="K17" s="34" t="s">
        <v>2849</v>
      </c>
      <c r="L17" s="34" t="s">
        <v>2850</v>
      </c>
      <c r="M17" s="34" t="s">
        <v>2851</v>
      </c>
      <c r="N17" s="34" t="s">
        <v>2852</v>
      </c>
      <c r="T17" s="34" t="s">
        <v>1302</v>
      </c>
      <c r="U17" s="35" t="s">
        <v>2838</v>
      </c>
      <c r="V17" s="34" t="s">
        <v>921</v>
      </c>
      <c r="W17" s="34" t="s">
        <v>984</v>
      </c>
      <c r="Y17" s="34" t="s">
        <v>1260</v>
      </c>
      <c r="Z17" s="60" t="s">
        <v>2813</v>
      </c>
      <c r="AE17" s="60" t="s">
        <v>2814</v>
      </c>
      <c r="AF17" s="60" t="s">
        <v>2815</v>
      </c>
      <c r="AG17" s="60" t="s">
        <v>2816</v>
      </c>
      <c r="AH17" s="60" t="s">
        <v>2817</v>
      </c>
      <c r="AI17" s="60" t="s">
        <v>2818</v>
      </c>
      <c r="AJ17" s="60" t="s">
        <v>2853</v>
      </c>
      <c r="AQ17" s="34" t="s">
        <v>2821</v>
      </c>
      <c r="BL17" s="34" t="s">
        <v>1290</v>
      </c>
      <c r="BM17" s="34" t="s">
        <v>918</v>
      </c>
      <c r="BN17" s="34" t="s">
        <v>918</v>
      </c>
      <c r="BP17" s="34">
        <v>80</v>
      </c>
      <c r="BQ17" s="34">
        <v>60</v>
      </c>
      <c r="EW17" s="34" t="s">
        <v>1296</v>
      </c>
      <c r="FN17" s="34">
        <v>39.99</v>
      </c>
    </row>
  </sheetData>
  <sheetProtection sheet="1" formatColumns="0" formatRows="0" insertRows="0" deleteColumns="0" deleteRows="0"/>
  <conditionalFormatting sqref="CH4:CH8 CH13 CH18:CH1048576">
    <cfRule type="expression" dxfId="3359" priority="2356">
      <formula>IF($T4&lt;&gt;"Parent",0,1)</formula>
    </cfRule>
    <cfRule type="expression" dxfId="3358" priority="2777">
      <formula>IF(LEN(CH4)&gt;0,1,0)</formula>
    </cfRule>
    <cfRule type="expression" dxfId="3357" priority="2778">
      <formula>IF(VLOOKUP($CH$3,requiredAttributePTDMap,MATCH($A4,attributeMapFeedProductType,0)+1,FALSE)&gt;0,1,0)</formula>
    </cfRule>
    <cfRule type="expression" dxfId="3356" priority="2779">
      <formula>IF(VLOOKUP($CH$3,optionalAttributePTDMap,MATCH($A4,attributeMapFeedProductType,0)+1,FALSE)&gt;0,1,0)</formula>
    </cfRule>
    <cfRule type="expression" dxfId="3355" priority="2780">
      <formula>IF(VLOOKUP($CH$3,preferredAttributePTDMap,MATCH($A4,attributeMapFeedProductType,0)+1,FALSE)&gt;0,1,0)</formula>
    </cfRule>
    <cfRule type="expression" dxfId="3354" priority="278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B4:B8 B13 B18:B1048576">
    <cfRule type="expression" dxfId="3353" priority="2357">
      <formula>IF(LEN(B4)&gt;0,1,0)</formula>
    </cfRule>
    <cfRule type="expression" dxfId="3352" priority="2358">
      <formula>IF(VLOOKUP($B$3,requiredAttributePTDMap,MATCH($A4,attributeMapFeedProductType,0)+1,FALSE)&gt;0,1,0)</formula>
    </cfRule>
    <cfRule type="expression" dxfId="3351" priority="2359">
      <formula>IF(VLOOKUP($B$3,optionalAttributePTDMap,MATCH($A4,attributeMapFeedProductType,0)+1,FALSE)&gt;0,1,0)</formula>
    </cfRule>
    <cfRule type="expression" dxfId="3350" priority="2360">
      <formula>IF(VLOOKUP($B$3,preferredAttributePTDMap,MATCH($A4,attributeMapFeedProductType,0)+1,FALSE)&gt;0,1,0)</formula>
    </cfRule>
    <cfRule type="expression" dxfId="3349" priority="236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8 C13 C18:C1048576">
    <cfRule type="expression" dxfId="3348" priority="2362">
      <formula>IF(LEN(C4)&gt;0,1,0)</formula>
    </cfRule>
    <cfRule type="expression" dxfId="3347" priority="2363">
      <formula>IF(VLOOKUP($C$3,requiredAttributePTDMap,MATCH($A4,attributeMapFeedProductType,0)+1,FALSE)&gt;0,1,0)</formula>
    </cfRule>
    <cfRule type="expression" dxfId="3346" priority="2364">
      <formula>IF(VLOOKUP($C$3,optionalAttributePTDMap,MATCH($A4,attributeMapFeedProductType,0)+1,FALSE)&gt;0,1,0)</formula>
    </cfRule>
    <cfRule type="expression" dxfId="3345" priority="2365">
      <formula>IF(VLOOKUP($C$3,preferredAttributePTDMap,MATCH($A4,attributeMapFeedProductType,0)+1,FALSE)&gt;0,1,0)</formula>
    </cfRule>
    <cfRule type="expression" dxfId="3344" priority="236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8 D13 D18:D1048576">
    <cfRule type="expression" dxfId="3343" priority="2367">
      <formula>IF(LEN(D4)&gt;0,1,0)</formula>
    </cfRule>
    <cfRule type="expression" dxfId="3342" priority="2368">
      <formula>IF(VLOOKUP($D$3,requiredAttributePTDMap,MATCH($A4,attributeMapFeedProductType,0)+1,FALSE)&gt;0,1,0)</formula>
    </cfRule>
    <cfRule type="expression" dxfId="3341" priority="2369">
      <formula>IF(VLOOKUP($D$3,optionalAttributePTDMap,MATCH($A4,attributeMapFeedProductType,0)+1,FALSE)&gt;0,1,0)</formula>
    </cfRule>
    <cfRule type="expression" dxfId="3340" priority="2370">
      <formula>IF(VLOOKUP($D$3,preferredAttributePTDMap,MATCH($A4,attributeMapFeedProductType,0)+1,FALSE)&gt;0,1,0)</formula>
    </cfRule>
    <cfRule type="expression" dxfId="3339" priority="237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8 E13 E18:E1048576">
    <cfRule type="expression" dxfId="3338" priority="2372">
      <formula>IF(LEN(E8)&gt;0,1,0)</formula>
    </cfRule>
    <cfRule type="expression" dxfId="3337" priority="2373">
      <formula>IF(VLOOKUP($E$3,requiredAttributePTDMap,MATCH($A8,attributeMapFeedProductType,0)+1,FALSE)&gt;0,1,0)</formula>
    </cfRule>
    <cfRule type="expression" dxfId="3336" priority="2374">
      <formula>IF(VLOOKUP($E$3,optionalAttributePTDMap,MATCH($A8,attributeMapFeedProductType,0)+1,FALSE)&gt;0,1,0)</formula>
    </cfRule>
    <cfRule type="expression" dxfId="3335" priority="2375">
      <formula>IF(VLOOKUP($E$3,preferredAttributePTDMap,MATCH($A8,attributeMapFeedProductType,0)+1,FALSE)&gt;0,1,0)</formula>
    </cfRule>
    <cfRule type="expression" dxfId="3334" priority="2376">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F4:F8 F13 F18:F1048576">
    <cfRule type="expression" dxfId="3333" priority="2377">
      <formula>IF(LEN(F4)&gt;0,1,0)</formula>
    </cfRule>
    <cfRule type="expression" dxfId="3332" priority="2378">
      <formula>IF(VLOOKUP($F$3,requiredAttributePTDMap,MATCH($A4,attributeMapFeedProductType,0)+1,FALSE)&gt;0,1,0)</formula>
    </cfRule>
    <cfRule type="expression" dxfId="3331" priority="2379">
      <formula>IF(VLOOKUP($F$3,optionalAttributePTDMap,MATCH($A4,attributeMapFeedProductType,0)+1,FALSE)&gt;0,1,0)</formula>
    </cfRule>
    <cfRule type="expression" dxfId="3330" priority="2380">
      <formula>IF(VLOOKUP($F$3,preferredAttributePTDMap,MATCH($A4,attributeMapFeedProductType,0)+1,FALSE)&gt;0,1,0)</formula>
    </cfRule>
    <cfRule type="expression" dxfId="3329" priority="238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8 G13 G18:G1048576">
    <cfRule type="expression" dxfId="3328" priority="2382">
      <formula>IF(LEN(G4)&gt;0,1,0)</formula>
    </cfRule>
    <cfRule type="expression" dxfId="3327" priority="2383">
      <formula>IF(VLOOKUP($G$3,requiredAttributePTDMap,MATCH($A4,attributeMapFeedProductType,0)+1,FALSE)&gt;0,1,0)</formula>
    </cfRule>
    <cfRule type="expression" dxfId="3326" priority="2384">
      <formula>IF(VLOOKUP($G$3,optionalAttributePTDMap,MATCH($A4,attributeMapFeedProductType,0)+1,FALSE)&gt;0,1,0)</formula>
    </cfRule>
    <cfRule type="expression" dxfId="3325" priority="2385">
      <formula>IF(VLOOKUP($G$3,preferredAttributePTDMap,MATCH($A4,attributeMapFeedProductType,0)+1,FALSE)&gt;0,1,0)</formula>
    </cfRule>
    <cfRule type="expression" dxfId="3324" priority="238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8 H13 H18:H1048576">
    <cfRule type="expression" dxfId="3323" priority="2387">
      <formula>IF(LEN(H4)&gt;0,1,0)</formula>
    </cfRule>
    <cfRule type="expression" dxfId="3322" priority="2388">
      <formula>IF(VLOOKUP($H$3,requiredAttributePTDMap,MATCH($A4,attributeMapFeedProductType,0)+1,FALSE)&gt;0,1,0)</formula>
    </cfRule>
    <cfRule type="expression" dxfId="3321" priority="2389">
      <formula>IF(VLOOKUP($H$3,optionalAttributePTDMap,MATCH($A4,attributeMapFeedProductType,0)+1,FALSE)&gt;0,1,0)</formula>
    </cfRule>
    <cfRule type="expression" dxfId="3320" priority="2390">
      <formula>IF(VLOOKUP($H$3,preferredAttributePTDMap,MATCH($A4,attributeMapFeedProductType,0)+1,FALSE)&gt;0,1,0)</formula>
    </cfRule>
    <cfRule type="expression" dxfId="3319" priority="239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8 I13 I18:I1048576">
    <cfRule type="expression" dxfId="3318" priority="2392">
      <formula>IF(LEN(I4)&gt;0,1,0)</formula>
    </cfRule>
    <cfRule type="expression" dxfId="3317" priority="2393">
      <formula>IF(VLOOKUP($I$3,requiredAttributePTDMap,MATCH($A4,attributeMapFeedProductType,0)+1,FALSE)&gt;0,1,0)</formula>
    </cfRule>
    <cfRule type="expression" dxfId="3316" priority="2394">
      <formula>IF(VLOOKUP($I$3,optionalAttributePTDMap,MATCH($A4,attributeMapFeedProductType,0)+1,FALSE)&gt;0,1,0)</formula>
    </cfRule>
    <cfRule type="expression" dxfId="3315" priority="2395">
      <formula>IF(VLOOKUP($I$3,preferredAttributePTDMap,MATCH($A4,attributeMapFeedProductType,0)+1,FALSE)&gt;0,1,0)</formula>
    </cfRule>
    <cfRule type="expression" dxfId="3314" priority="239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8 J13 J18:J1048576">
    <cfRule type="expression" dxfId="3313" priority="2397">
      <formula>IF(LEN(J4)&gt;0,1,0)</formula>
    </cfRule>
    <cfRule type="expression" dxfId="3312" priority="2398">
      <formula>IF(VLOOKUP($J$3,requiredAttributePTDMap,MATCH($A4,attributeMapFeedProductType,0)+1,FALSE)&gt;0,1,0)</formula>
    </cfRule>
    <cfRule type="expression" dxfId="3311" priority="2399">
      <formula>IF(VLOOKUP($J$3,optionalAttributePTDMap,MATCH($A4,attributeMapFeedProductType,0)+1,FALSE)&gt;0,1,0)</formula>
    </cfRule>
    <cfRule type="expression" dxfId="3310" priority="2400">
      <formula>IF(VLOOKUP($J$3,preferredAttributePTDMap,MATCH($A4,attributeMapFeedProductType,0)+1,FALSE)&gt;0,1,0)</formula>
    </cfRule>
    <cfRule type="expression" dxfId="3309" priority="240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8 K13 K18:K1048576">
    <cfRule type="expression" dxfId="3308" priority="2402">
      <formula>IF(LEN(K4)&gt;0,1,0)</formula>
    </cfRule>
    <cfRule type="expression" dxfId="3307" priority="2403">
      <formula>IF(VLOOKUP($K$3,requiredAttributePTDMap,MATCH($A4,attributeMapFeedProductType,0)+1,FALSE)&gt;0,1,0)</formula>
    </cfRule>
    <cfRule type="expression" dxfId="3306" priority="2404">
      <formula>IF(VLOOKUP($K$3,optionalAttributePTDMap,MATCH($A4,attributeMapFeedProductType,0)+1,FALSE)&gt;0,1,0)</formula>
    </cfRule>
    <cfRule type="expression" dxfId="3305" priority="2405">
      <formula>IF(VLOOKUP($K$3,preferredAttributePTDMap,MATCH($A4,attributeMapFeedProductType,0)+1,FALSE)&gt;0,1,0)</formula>
    </cfRule>
    <cfRule type="expression" dxfId="3304" priority="240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8 L13 L18:L1048576">
    <cfRule type="expression" dxfId="3303" priority="2407">
      <formula>IF(LEN(L4)&gt;0,1,0)</formula>
    </cfRule>
    <cfRule type="expression" dxfId="3302" priority="2408">
      <formula>IF(VLOOKUP($L$3,requiredAttributePTDMap,MATCH($A4,attributeMapFeedProductType,0)+1,FALSE)&gt;0,1,0)</formula>
    </cfRule>
    <cfRule type="expression" dxfId="3301" priority="2409">
      <formula>IF(VLOOKUP($L$3,optionalAttributePTDMap,MATCH($A4,attributeMapFeedProductType,0)+1,FALSE)&gt;0,1,0)</formula>
    </cfRule>
    <cfRule type="expression" dxfId="3300" priority="2410">
      <formula>IF(VLOOKUP($L$3,preferredAttributePTDMap,MATCH($A4,attributeMapFeedProductType,0)+1,FALSE)&gt;0,1,0)</formula>
    </cfRule>
    <cfRule type="expression" dxfId="3299" priority="241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8 M13 M18:M1048576">
    <cfRule type="expression" dxfId="3298" priority="2412">
      <formula>IF(LEN(M4)&gt;0,1,0)</formula>
    </cfRule>
    <cfRule type="expression" dxfId="3297" priority="2413">
      <formula>IF(VLOOKUP($M$3,requiredAttributePTDMap,MATCH($A4,attributeMapFeedProductType,0)+1,FALSE)&gt;0,1,0)</formula>
    </cfRule>
    <cfRule type="expression" dxfId="3296" priority="2414">
      <formula>IF(VLOOKUP($M$3,optionalAttributePTDMap,MATCH($A4,attributeMapFeedProductType,0)+1,FALSE)&gt;0,1,0)</formula>
    </cfRule>
    <cfRule type="expression" dxfId="3295" priority="2415">
      <formula>IF(VLOOKUP($M$3,preferredAttributePTDMap,MATCH($A4,attributeMapFeedProductType,0)+1,FALSE)&gt;0,1,0)</formula>
    </cfRule>
    <cfRule type="expression" dxfId="3294" priority="241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8 N13 N18:N1048576">
    <cfRule type="expression" dxfId="3293" priority="2417">
      <formula>IF(LEN(N4)&gt;0,1,0)</formula>
    </cfRule>
    <cfRule type="expression" dxfId="3292" priority="2418">
      <formula>IF(VLOOKUP($N$3,requiredAttributePTDMap,MATCH($A4,attributeMapFeedProductType,0)+1,FALSE)&gt;0,1,0)</formula>
    </cfRule>
    <cfRule type="expression" dxfId="3291" priority="2419">
      <formula>IF(VLOOKUP($N$3,optionalAttributePTDMap,MATCH($A4,attributeMapFeedProductType,0)+1,FALSE)&gt;0,1,0)</formula>
    </cfRule>
    <cfRule type="expression" dxfId="3290" priority="2420">
      <formula>IF(VLOOKUP($N$3,preferredAttributePTDMap,MATCH($A4,attributeMapFeedProductType,0)+1,FALSE)&gt;0,1,0)</formula>
    </cfRule>
    <cfRule type="expression" dxfId="3289" priority="242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8 O13 O18:O1048576">
    <cfRule type="expression" dxfId="3288" priority="2422">
      <formula>IF(LEN(O4)&gt;0,1,0)</formula>
    </cfRule>
    <cfRule type="expression" dxfId="3287" priority="2423">
      <formula>IF(VLOOKUP($O$3,requiredAttributePTDMap,MATCH($A4,attributeMapFeedProductType,0)+1,FALSE)&gt;0,1,0)</formula>
    </cfRule>
    <cfRule type="expression" dxfId="3286" priority="2424">
      <formula>IF(VLOOKUP($O$3,optionalAttributePTDMap,MATCH($A4,attributeMapFeedProductType,0)+1,FALSE)&gt;0,1,0)</formula>
    </cfRule>
    <cfRule type="expression" dxfId="3285" priority="2425">
      <formula>IF(VLOOKUP($O$3,preferredAttributePTDMap,MATCH($A4,attributeMapFeedProductType,0)+1,FALSE)&gt;0,1,0)</formula>
    </cfRule>
    <cfRule type="expression" dxfId="3284" priority="242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8 P13 P18:P1048576">
    <cfRule type="expression" dxfId="3283" priority="2427">
      <formula>IF(LEN(P4)&gt;0,1,0)</formula>
    </cfRule>
    <cfRule type="expression" dxfId="3282" priority="2428">
      <formula>IF(VLOOKUP($P$3,requiredAttributePTDMap,MATCH($A4,attributeMapFeedProductType,0)+1,FALSE)&gt;0,1,0)</formula>
    </cfRule>
    <cfRule type="expression" dxfId="3281" priority="2429">
      <formula>IF(VLOOKUP($P$3,optionalAttributePTDMap,MATCH($A4,attributeMapFeedProductType,0)+1,FALSE)&gt;0,1,0)</formula>
    </cfRule>
    <cfRule type="expression" dxfId="3280" priority="2430">
      <formula>IF(VLOOKUP($P$3,preferredAttributePTDMap,MATCH($A4,attributeMapFeedProductType,0)+1,FALSE)&gt;0,1,0)</formula>
    </cfRule>
    <cfRule type="expression" dxfId="3279" priority="243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8 Q13 Q18:Q1048576">
    <cfRule type="expression" dxfId="3278" priority="2432">
      <formula>IF(LEN(Q4)&gt;0,1,0)</formula>
    </cfRule>
    <cfRule type="expression" dxfId="3277" priority="2433">
      <formula>IF(VLOOKUP($Q$3,requiredAttributePTDMap,MATCH($A4,attributeMapFeedProductType,0)+1,FALSE)&gt;0,1,0)</formula>
    </cfRule>
    <cfRule type="expression" dxfId="3276" priority="2434">
      <formula>IF(VLOOKUP($Q$3,optionalAttributePTDMap,MATCH($A4,attributeMapFeedProductType,0)+1,FALSE)&gt;0,1,0)</formula>
    </cfRule>
    <cfRule type="expression" dxfId="3275" priority="2435">
      <formula>IF(VLOOKUP($Q$3,preferredAttributePTDMap,MATCH($A4,attributeMapFeedProductType,0)+1,FALSE)&gt;0,1,0)</formula>
    </cfRule>
    <cfRule type="expression" dxfId="3274" priority="243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8 R13 R18:R1048576">
    <cfRule type="expression" dxfId="3273" priority="2437">
      <formula>IF(LEN(R4)&gt;0,1,0)</formula>
    </cfRule>
    <cfRule type="expression" dxfId="3272" priority="2438">
      <formula>IF(VLOOKUP($R$3,requiredAttributePTDMap,MATCH($A4,attributeMapFeedProductType,0)+1,FALSE)&gt;0,1,0)</formula>
    </cfRule>
    <cfRule type="expression" dxfId="3271" priority="2439">
      <formula>IF(VLOOKUP($R$3,optionalAttributePTDMap,MATCH($A4,attributeMapFeedProductType,0)+1,FALSE)&gt;0,1,0)</formula>
    </cfRule>
    <cfRule type="expression" dxfId="3270" priority="2440">
      <formula>IF(VLOOKUP($R$3,preferredAttributePTDMap,MATCH($A4,attributeMapFeedProductType,0)+1,FALSE)&gt;0,1,0)</formula>
    </cfRule>
    <cfRule type="expression" dxfId="3269" priority="244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8 S13 S18:S1048576">
    <cfRule type="expression" dxfId="3268" priority="2442">
      <formula>IF(LEN(S4)&gt;0,1,0)</formula>
    </cfRule>
    <cfRule type="expression" dxfId="3267" priority="2443">
      <formula>IF(VLOOKUP($S$3,requiredAttributePTDMap,MATCH($A4,attributeMapFeedProductType,0)+1,FALSE)&gt;0,1,0)</formula>
    </cfRule>
    <cfRule type="expression" dxfId="3266" priority="2444">
      <formula>IF(VLOOKUP($S$3,optionalAttributePTDMap,MATCH($A4,attributeMapFeedProductType,0)+1,FALSE)&gt;0,1,0)</formula>
    </cfRule>
    <cfRule type="expression" dxfId="3265" priority="2445">
      <formula>IF(VLOOKUP($S$3,preferredAttributePTDMap,MATCH($A4,attributeMapFeedProductType,0)+1,FALSE)&gt;0,1,0)</formula>
    </cfRule>
    <cfRule type="expression" dxfId="3264" priority="244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8 T13 T18:T1048576">
    <cfRule type="expression" dxfId="3263" priority="2447">
      <formula>IF(LEN(T4)&gt;0,1,0)</formula>
    </cfRule>
    <cfRule type="expression" dxfId="3262" priority="2448">
      <formula>IF(VLOOKUP($T$3,requiredAttributePTDMap,MATCH($A4,attributeMapFeedProductType,0)+1,FALSE)&gt;0,1,0)</formula>
    </cfRule>
    <cfRule type="expression" dxfId="3261" priority="2449">
      <formula>IF(VLOOKUP($T$3,optionalAttributePTDMap,MATCH($A4,attributeMapFeedProductType,0)+1,FALSE)&gt;0,1,0)</formula>
    </cfRule>
    <cfRule type="expression" dxfId="3260" priority="2450">
      <formula>IF(VLOOKUP($T$3,preferredAttributePTDMap,MATCH($A4,attributeMapFeedProductType,0)+1,FALSE)&gt;0,1,0)</formula>
    </cfRule>
    <cfRule type="expression" dxfId="3259" priority="245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8 U13 U18:U1048576">
    <cfRule type="expression" dxfId="3258" priority="2452">
      <formula>IF(LEN(U8)&gt;0,1,0)</formula>
    </cfRule>
    <cfRule type="expression" dxfId="3257" priority="2453">
      <formula>IF(VLOOKUP($U$3,requiredAttributePTDMap,MATCH($A8,attributeMapFeedProductType,0)+1,FALSE)&gt;0,1,0)</formula>
    </cfRule>
    <cfRule type="expression" dxfId="3256" priority="2454">
      <formula>IF(VLOOKUP($U$3,optionalAttributePTDMap,MATCH($A8,attributeMapFeedProductType,0)+1,FALSE)&gt;0,1,0)</formula>
    </cfRule>
    <cfRule type="expression" dxfId="3255" priority="2455">
      <formula>IF(VLOOKUP($U$3,preferredAttributePTDMap,MATCH($A8,attributeMapFeedProductType,0)+1,FALSE)&gt;0,1,0)</formula>
    </cfRule>
    <cfRule type="expression" dxfId="3254" priority="2456">
      <formula>AND(IF(IFERROR(VLOOKUP($U$3,requiredAttributePTDMap,MATCH($A8,attributeMapFeedProductType,0)+1,FALSE),0)&gt;0,0,1),IF(IFERROR(VLOOKUP($U$3,optionalAttributePTDMap,MATCH($A8,attributeMapFeedProductType,0)+1,FALSE),0)&gt;0,0,1),IF(IFERROR(VLOOKUP($U$3,preferredAttributePTDMap,MATCH($A8,attributeMapFeedProductType,0)+1,FALSE),0)&gt;0,0,1),IF(IFERROR(MATCH($A8,attributeMapFeedProductType,0),0)&gt;0,1,0))</formula>
    </cfRule>
  </conditionalFormatting>
  <conditionalFormatting sqref="V4:V8 V13 V18:V1048576">
    <cfRule type="expression" dxfId="3253" priority="2457">
      <formula>IF(LEN(V4)&gt;0,1,0)</formula>
    </cfRule>
    <cfRule type="expression" dxfId="3252" priority="2458">
      <formula>IF(VLOOKUP($V$3,requiredAttributePTDMap,MATCH($A4,attributeMapFeedProductType,0)+1,FALSE)&gt;0,1,0)</formula>
    </cfRule>
    <cfRule type="expression" dxfId="3251" priority="2459">
      <formula>IF(VLOOKUP($V$3,optionalAttributePTDMap,MATCH($A4,attributeMapFeedProductType,0)+1,FALSE)&gt;0,1,0)</formula>
    </cfRule>
    <cfRule type="expression" dxfId="3250" priority="2460">
      <formula>IF(VLOOKUP($V$3,preferredAttributePTDMap,MATCH($A4,attributeMapFeedProductType,0)+1,FALSE)&gt;0,1,0)</formula>
    </cfRule>
    <cfRule type="expression" dxfId="3249" priority="246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8 W13 W18:W1048576">
    <cfRule type="expression" dxfId="3248" priority="2462">
      <formula>IF(LEN(W4)&gt;0,1,0)</formula>
    </cfRule>
    <cfRule type="expression" dxfId="3247" priority="2463">
      <formula>IF(VLOOKUP($W$3,requiredAttributePTDMap,MATCH($A4,attributeMapFeedProductType,0)+1,FALSE)&gt;0,1,0)</formula>
    </cfRule>
    <cfRule type="expression" dxfId="3246" priority="2464">
      <formula>IF(VLOOKUP($W$3,optionalAttributePTDMap,MATCH($A4,attributeMapFeedProductType,0)+1,FALSE)&gt;0,1,0)</formula>
    </cfRule>
    <cfRule type="expression" dxfId="3245" priority="2465">
      <formula>IF(VLOOKUP($W$3,preferredAttributePTDMap,MATCH($A4,attributeMapFeedProductType,0)+1,FALSE)&gt;0,1,0)</formula>
    </cfRule>
    <cfRule type="expression" dxfId="3244" priority="246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8 X13 X18:X1048576">
    <cfRule type="expression" dxfId="3243" priority="2467">
      <formula>IF(LEN(X4)&gt;0,1,0)</formula>
    </cfRule>
    <cfRule type="expression" dxfId="3242" priority="2468">
      <formula>IF(VLOOKUP($X$3,requiredAttributePTDMap,MATCH($A4,attributeMapFeedProductType,0)+1,FALSE)&gt;0,1,0)</formula>
    </cfRule>
    <cfRule type="expression" dxfId="3241" priority="2469">
      <formula>IF(VLOOKUP($X$3,optionalAttributePTDMap,MATCH($A4,attributeMapFeedProductType,0)+1,FALSE)&gt;0,1,0)</formula>
    </cfRule>
    <cfRule type="expression" dxfId="3240" priority="2470">
      <formula>IF(VLOOKUP($X$3,preferredAttributePTDMap,MATCH($A4,attributeMapFeedProductType,0)+1,FALSE)&gt;0,1,0)</formula>
    </cfRule>
    <cfRule type="expression" dxfId="3239" priority="247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8 Y13 Y18:Y1048576">
    <cfRule type="expression" dxfId="3238" priority="2472">
      <formula>IF(LEN(Y4)&gt;0,1,0)</formula>
    </cfRule>
    <cfRule type="expression" dxfId="3237" priority="2473">
      <formula>IF(VLOOKUP($Y$3,requiredAttributePTDMap,MATCH($A4,attributeMapFeedProductType,0)+1,FALSE)&gt;0,1,0)</formula>
    </cfRule>
    <cfRule type="expression" dxfId="3236" priority="2474">
      <formula>IF(VLOOKUP($Y$3,optionalAttributePTDMap,MATCH($A4,attributeMapFeedProductType,0)+1,FALSE)&gt;0,1,0)</formula>
    </cfRule>
    <cfRule type="expression" dxfId="3235" priority="2475">
      <formula>IF(VLOOKUP($Y$3,preferredAttributePTDMap,MATCH($A4,attributeMapFeedProductType,0)+1,FALSE)&gt;0,1,0)</formula>
    </cfRule>
    <cfRule type="expression" dxfId="3234" priority="247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8 Z13 Z18:Z1048576">
    <cfRule type="expression" dxfId="3233" priority="2477">
      <formula>IF(LEN(Z4)&gt;0,1,0)</formula>
    </cfRule>
    <cfRule type="expression" dxfId="3232" priority="2478">
      <formula>IF(VLOOKUP($Z$3,requiredAttributePTDMap,MATCH($A4,attributeMapFeedProductType,0)+1,FALSE)&gt;0,1,0)</formula>
    </cfRule>
    <cfRule type="expression" dxfId="3231" priority="2479">
      <formula>IF(VLOOKUP($Z$3,optionalAttributePTDMap,MATCH($A4,attributeMapFeedProductType,0)+1,FALSE)&gt;0,1,0)</formula>
    </cfRule>
    <cfRule type="expression" dxfId="3230" priority="2480">
      <formula>IF(VLOOKUP($Z$3,preferredAttributePTDMap,MATCH($A4,attributeMapFeedProductType,0)+1,FALSE)&gt;0,1,0)</formula>
    </cfRule>
    <cfRule type="expression" dxfId="3229" priority="248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8 AA13 AA18:AA1048576">
    <cfRule type="expression" dxfId="3228" priority="2482">
      <formula>IF(LEN(AA4)&gt;0,1,0)</formula>
    </cfRule>
    <cfRule type="expression" dxfId="3227" priority="2483">
      <formula>IF(VLOOKUP($AA$3,requiredAttributePTDMap,MATCH($A4,attributeMapFeedProductType,0)+1,FALSE)&gt;0,1,0)</formula>
    </cfRule>
    <cfRule type="expression" dxfId="3226" priority="2484">
      <formula>IF(VLOOKUP($AA$3,optionalAttributePTDMap,MATCH($A4,attributeMapFeedProductType,0)+1,FALSE)&gt;0,1,0)</formula>
    </cfRule>
    <cfRule type="expression" dxfId="3225" priority="2485">
      <formula>IF(VLOOKUP($AA$3,preferredAttributePTDMap,MATCH($A4,attributeMapFeedProductType,0)+1,FALSE)&gt;0,1,0)</formula>
    </cfRule>
    <cfRule type="expression" dxfId="3224" priority="248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8 AB13 AB18:AB1048576">
    <cfRule type="expression" dxfId="3223" priority="2487">
      <formula>IF(LEN(AB4)&gt;0,1,0)</formula>
    </cfRule>
    <cfRule type="expression" dxfId="3222" priority="2488">
      <formula>IF(VLOOKUP($AB$3,requiredAttributePTDMap,MATCH($A4,attributeMapFeedProductType,0)+1,FALSE)&gt;0,1,0)</formula>
    </cfRule>
    <cfRule type="expression" dxfId="3221" priority="2489">
      <formula>IF(VLOOKUP($AB$3,optionalAttributePTDMap,MATCH($A4,attributeMapFeedProductType,0)+1,FALSE)&gt;0,1,0)</formula>
    </cfRule>
    <cfRule type="expression" dxfId="3220" priority="2490">
      <formula>IF(VLOOKUP($AB$3,preferredAttributePTDMap,MATCH($A4,attributeMapFeedProductType,0)+1,FALSE)&gt;0,1,0)</formula>
    </cfRule>
    <cfRule type="expression" dxfId="3219" priority="249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8 AC13 AC18:AC1048576">
    <cfRule type="expression" dxfId="3218" priority="2492">
      <formula>IF(LEN(AC4)&gt;0,1,0)</formula>
    </cfRule>
    <cfRule type="expression" dxfId="3217" priority="2493">
      <formula>IF(VLOOKUP($AC$3,requiredAttributePTDMap,MATCH($A4,attributeMapFeedProductType,0)+1,FALSE)&gt;0,1,0)</formula>
    </cfRule>
    <cfRule type="expression" dxfId="3216" priority="2494">
      <formula>IF(VLOOKUP($AC$3,optionalAttributePTDMap,MATCH($A4,attributeMapFeedProductType,0)+1,FALSE)&gt;0,1,0)</formula>
    </cfRule>
    <cfRule type="expression" dxfId="3215" priority="2495">
      <formula>IF(VLOOKUP($AC$3,preferredAttributePTDMap,MATCH($A4,attributeMapFeedProductType,0)+1,FALSE)&gt;0,1,0)</formula>
    </cfRule>
    <cfRule type="expression" dxfId="3214" priority="249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8 AD13 AD18:AD1048576">
    <cfRule type="expression" dxfId="3213" priority="2497">
      <formula>IF(LEN(AD4)&gt;0,1,0)</formula>
    </cfRule>
    <cfRule type="expression" dxfId="3212" priority="2498">
      <formula>IF(VLOOKUP($AD$3,requiredAttributePTDMap,MATCH($A4,attributeMapFeedProductType,0)+1,FALSE)&gt;0,1,0)</formula>
    </cfRule>
    <cfRule type="expression" dxfId="3211" priority="2499">
      <formula>IF(VLOOKUP($AD$3,optionalAttributePTDMap,MATCH($A4,attributeMapFeedProductType,0)+1,FALSE)&gt;0,1,0)</formula>
    </cfRule>
    <cfRule type="expression" dxfId="3210" priority="2500">
      <formula>IF(VLOOKUP($AD$3,preferredAttributePTDMap,MATCH($A4,attributeMapFeedProductType,0)+1,FALSE)&gt;0,1,0)</formula>
    </cfRule>
    <cfRule type="expression" dxfId="3209" priority="250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8 AE13 AE18:AE1048576">
    <cfRule type="expression" dxfId="3208" priority="2502">
      <formula>IF(LEN(AE4)&gt;0,1,0)</formula>
    </cfRule>
    <cfRule type="expression" dxfId="3207" priority="2503">
      <formula>IF(VLOOKUP($AE$3,requiredAttributePTDMap,MATCH($A4,attributeMapFeedProductType,0)+1,FALSE)&gt;0,1,0)</formula>
    </cfRule>
    <cfRule type="expression" dxfId="3206" priority="2504">
      <formula>IF(VLOOKUP($AE$3,optionalAttributePTDMap,MATCH($A4,attributeMapFeedProductType,0)+1,FALSE)&gt;0,1,0)</formula>
    </cfRule>
    <cfRule type="expression" dxfId="3205" priority="2505">
      <formula>IF(VLOOKUP($AE$3,preferredAttributePTDMap,MATCH($A4,attributeMapFeedProductType,0)+1,FALSE)&gt;0,1,0)</formula>
    </cfRule>
    <cfRule type="expression" dxfId="3204" priority="250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8 AF13 AF18:AF1048576">
    <cfRule type="expression" dxfId="3203" priority="2507">
      <formula>IF(LEN(AF4)&gt;0,1,0)</formula>
    </cfRule>
    <cfRule type="expression" dxfId="3202" priority="2508">
      <formula>IF(VLOOKUP($AF$3,requiredAttributePTDMap,MATCH($A4,attributeMapFeedProductType,0)+1,FALSE)&gt;0,1,0)</formula>
    </cfRule>
    <cfRule type="expression" dxfId="3201" priority="2509">
      <formula>IF(VLOOKUP($AF$3,optionalAttributePTDMap,MATCH($A4,attributeMapFeedProductType,0)+1,FALSE)&gt;0,1,0)</formula>
    </cfRule>
    <cfRule type="expression" dxfId="3200" priority="2510">
      <formula>IF(VLOOKUP($AF$3,preferredAttributePTDMap,MATCH($A4,attributeMapFeedProductType,0)+1,FALSE)&gt;0,1,0)</formula>
    </cfRule>
    <cfRule type="expression" dxfId="3199" priority="251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8 AG13 AG18:AG1048576">
    <cfRule type="expression" dxfId="3198" priority="2512">
      <formula>IF(LEN(AG4)&gt;0,1,0)</formula>
    </cfRule>
    <cfRule type="expression" dxfId="3197" priority="2513">
      <formula>IF(VLOOKUP($AG$3,requiredAttributePTDMap,MATCH($A4,attributeMapFeedProductType,0)+1,FALSE)&gt;0,1,0)</formula>
    </cfRule>
    <cfRule type="expression" dxfId="3196" priority="2514">
      <formula>IF(VLOOKUP($AG$3,optionalAttributePTDMap,MATCH($A4,attributeMapFeedProductType,0)+1,FALSE)&gt;0,1,0)</formula>
    </cfRule>
    <cfRule type="expression" dxfId="3195" priority="2515">
      <formula>IF(VLOOKUP($AG$3,preferredAttributePTDMap,MATCH($A4,attributeMapFeedProductType,0)+1,FALSE)&gt;0,1,0)</formula>
    </cfRule>
    <cfRule type="expression" dxfId="3194" priority="251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8 AH13 AH18:AH1048576">
    <cfRule type="expression" dxfId="3193" priority="2517">
      <formula>IF(LEN(AH4)&gt;0,1,0)</formula>
    </cfRule>
    <cfRule type="expression" dxfId="3192" priority="2518">
      <formula>IF(VLOOKUP($AH$3,requiredAttributePTDMap,MATCH($A4,attributeMapFeedProductType,0)+1,FALSE)&gt;0,1,0)</formula>
    </cfRule>
    <cfRule type="expression" dxfId="3191" priority="2519">
      <formula>IF(VLOOKUP($AH$3,optionalAttributePTDMap,MATCH($A4,attributeMapFeedProductType,0)+1,FALSE)&gt;0,1,0)</formula>
    </cfRule>
    <cfRule type="expression" dxfId="3190" priority="2520">
      <formula>IF(VLOOKUP($AH$3,preferredAttributePTDMap,MATCH($A4,attributeMapFeedProductType,0)+1,FALSE)&gt;0,1,0)</formula>
    </cfRule>
    <cfRule type="expression" dxfId="3189" priority="252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8 AI13 AI18:AI1048576">
    <cfRule type="expression" dxfId="3188" priority="2522">
      <formula>IF(LEN(AI4)&gt;0,1,0)</formula>
    </cfRule>
    <cfRule type="expression" dxfId="3187" priority="2523">
      <formula>IF(VLOOKUP($AI$3,requiredAttributePTDMap,MATCH($A4,attributeMapFeedProductType,0)+1,FALSE)&gt;0,1,0)</formula>
    </cfRule>
    <cfRule type="expression" dxfId="3186" priority="2524">
      <formula>IF(VLOOKUP($AI$3,optionalAttributePTDMap,MATCH($A4,attributeMapFeedProductType,0)+1,FALSE)&gt;0,1,0)</formula>
    </cfRule>
    <cfRule type="expression" dxfId="3185" priority="2525">
      <formula>IF(VLOOKUP($AI$3,preferredAttributePTDMap,MATCH($A4,attributeMapFeedProductType,0)+1,FALSE)&gt;0,1,0)</formula>
    </cfRule>
    <cfRule type="expression" dxfId="3184" priority="252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8 AJ13 AJ18:AJ1048576">
    <cfRule type="expression" dxfId="3183" priority="2527">
      <formula>IF(LEN(AJ8)&gt;0,1,0)</formula>
    </cfRule>
    <cfRule type="expression" dxfId="3182" priority="2528">
      <formula>IF(VLOOKUP($AJ$3,requiredAttributePTDMap,MATCH($A8,attributeMapFeedProductType,0)+1,FALSE)&gt;0,1,0)</formula>
    </cfRule>
    <cfRule type="expression" dxfId="3181" priority="2529">
      <formula>IF(VLOOKUP($AJ$3,optionalAttributePTDMap,MATCH($A8,attributeMapFeedProductType,0)+1,FALSE)&gt;0,1,0)</formula>
    </cfRule>
    <cfRule type="expression" dxfId="3180" priority="2530">
      <formula>IF(VLOOKUP($AJ$3,preferredAttributePTDMap,MATCH($A8,attributeMapFeedProductType,0)+1,FALSE)&gt;0,1,0)</formula>
    </cfRule>
    <cfRule type="expression" dxfId="3179" priority="2531">
      <formula>AND(IF(IFERROR(VLOOKUP($AJ$3,requiredAttributePTDMap,MATCH($A8,attributeMapFeedProductType,0)+1,FALSE),0)&gt;0,0,1),IF(IFERROR(VLOOKUP($AJ$3,optionalAttributePTDMap,MATCH($A8,attributeMapFeedProductType,0)+1,FALSE),0)&gt;0,0,1),IF(IFERROR(VLOOKUP($AJ$3,preferredAttributePTDMap,MATCH($A8,attributeMapFeedProductType,0)+1,FALSE),0)&gt;0,0,1),IF(IFERROR(MATCH($A8,attributeMapFeedProductType,0),0)&gt;0,1,0))</formula>
    </cfRule>
  </conditionalFormatting>
  <conditionalFormatting sqref="AK4:AK8 AK13 AK18:AK1048576">
    <cfRule type="expression" dxfId="3178" priority="2532">
      <formula>IF(LEN(AK4)&gt;0,1,0)</formula>
    </cfRule>
    <cfRule type="expression" dxfId="3177" priority="2533">
      <formula>IF(VLOOKUP($AK$3,requiredAttributePTDMap,MATCH($A4,attributeMapFeedProductType,0)+1,FALSE)&gt;0,1,0)</formula>
    </cfRule>
    <cfRule type="expression" dxfId="3176" priority="2534">
      <formula>IF(VLOOKUP($AK$3,optionalAttributePTDMap,MATCH($A4,attributeMapFeedProductType,0)+1,FALSE)&gt;0,1,0)</formula>
    </cfRule>
    <cfRule type="expression" dxfId="3175" priority="2535">
      <formula>IF(VLOOKUP($AK$3,preferredAttributePTDMap,MATCH($A4,attributeMapFeedProductType,0)+1,FALSE)&gt;0,1,0)</formula>
    </cfRule>
    <cfRule type="expression" dxfId="3174" priority="253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8 AL13 AL18:AL1048576">
    <cfRule type="expression" dxfId="3173" priority="2537">
      <formula>IF(LEN(AL4)&gt;0,1,0)</formula>
    </cfRule>
    <cfRule type="expression" dxfId="3172" priority="2538">
      <formula>IF(VLOOKUP($AL$3,requiredAttributePTDMap,MATCH($A4,attributeMapFeedProductType,0)+1,FALSE)&gt;0,1,0)</formula>
    </cfRule>
    <cfRule type="expression" dxfId="3171" priority="2539">
      <formula>IF(VLOOKUP($AL$3,optionalAttributePTDMap,MATCH($A4,attributeMapFeedProductType,0)+1,FALSE)&gt;0,1,0)</formula>
    </cfRule>
    <cfRule type="expression" dxfId="3170" priority="2540">
      <formula>IF(VLOOKUP($AL$3,preferredAttributePTDMap,MATCH($A4,attributeMapFeedProductType,0)+1,FALSE)&gt;0,1,0)</formula>
    </cfRule>
    <cfRule type="expression" dxfId="3169" priority="254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8 AM13 AM18:AM1048576">
    <cfRule type="expression" dxfId="3168" priority="2542">
      <formula>IF(LEN(AM4)&gt;0,1,0)</formula>
    </cfRule>
    <cfRule type="expression" dxfId="3167" priority="2543">
      <formula>IF(VLOOKUP($AM$3,requiredAttributePTDMap,MATCH($A4,attributeMapFeedProductType,0)+1,FALSE)&gt;0,1,0)</formula>
    </cfRule>
    <cfRule type="expression" dxfId="3166" priority="2544">
      <formula>IF(VLOOKUP($AM$3,optionalAttributePTDMap,MATCH($A4,attributeMapFeedProductType,0)+1,FALSE)&gt;0,1,0)</formula>
    </cfRule>
    <cfRule type="expression" dxfId="3165" priority="2545">
      <formula>IF(VLOOKUP($AM$3,preferredAttributePTDMap,MATCH($A4,attributeMapFeedProductType,0)+1,FALSE)&gt;0,1,0)</formula>
    </cfRule>
    <cfRule type="expression" dxfId="3164" priority="254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8 AN13 AN18:AN1048576">
    <cfRule type="expression" dxfId="3163" priority="2547">
      <formula>IF(LEN(AN4)&gt;0,1,0)</formula>
    </cfRule>
    <cfRule type="expression" dxfId="3162" priority="2548">
      <formula>IF(VLOOKUP($AN$3,requiredAttributePTDMap,MATCH($A4,attributeMapFeedProductType,0)+1,FALSE)&gt;0,1,0)</formula>
    </cfRule>
    <cfRule type="expression" dxfId="3161" priority="2549">
      <formula>IF(VLOOKUP($AN$3,optionalAttributePTDMap,MATCH($A4,attributeMapFeedProductType,0)+1,FALSE)&gt;0,1,0)</formula>
    </cfRule>
    <cfRule type="expression" dxfId="3160" priority="2550">
      <formula>IF(VLOOKUP($AN$3,preferredAttributePTDMap,MATCH($A4,attributeMapFeedProductType,0)+1,FALSE)&gt;0,1,0)</formula>
    </cfRule>
    <cfRule type="expression" dxfId="3159" priority="255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8 AO13 AO18:AO1048576">
    <cfRule type="expression" dxfId="3158" priority="2552">
      <formula>IF(LEN(AO4)&gt;0,1,0)</formula>
    </cfRule>
    <cfRule type="expression" dxfId="3157" priority="2553">
      <formula>IF(VLOOKUP($AO$3,requiredAttributePTDMap,MATCH($A4,attributeMapFeedProductType,0)+1,FALSE)&gt;0,1,0)</formula>
    </cfRule>
    <cfRule type="expression" dxfId="3156" priority="2554">
      <formula>IF(VLOOKUP($AO$3,optionalAttributePTDMap,MATCH($A4,attributeMapFeedProductType,0)+1,FALSE)&gt;0,1,0)</formula>
    </cfRule>
    <cfRule type="expression" dxfId="3155" priority="2555">
      <formula>IF(VLOOKUP($AO$3,preferredAttributePTDMap,MATCH($A4,attributeMapFeedProductType,0)+1,FALSE)&gt;0,1,0)</formula>
    </cfRule>
    <cfRule type="expression" dxfId="3154" priority="255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8 AP13 AP18:AP1048576">
    <cfRule type="expression" dxfId="3153" priority="2557">
      <formula>IF(LEN(AP4)&gt;0,1,0)</formula>
    </cfRule>
    <cfRule type="expression" dxfId="3152" priority="2558">
      <formula>IF(VLOOKUP($AP$3,requiredAttributePTDMap,MATCH($A4,attributeMapFeedProductType,0)+1,FALSE)&gt;0,1,0)</formula>
    </cfRule>
    <cfRule type="expression" dxfId="3151" priority="2559">
      <formula>IF(VLOOKUP($AP$3,optionalAttributePTDMap,MATCH($A4,attributeMapFeedProductType,0)+1,FALSE)&gt;0,1,0)</formula>
    </cfRule>
    <cfRule type="expression" dxfId="3150" priority="2560">
      <formula>IF(VLOOKUP($AP$3,preferredAttributePTDMap,MATCH($A4,attributeMapFeedProductType,0)+1,FALSE)&gt;0,1,0)</formula>
    </cfRule>
    <cfRule type="expression" dxfId="3149" priority="256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8 AQ13 AQ18:AQ1048576">
    <cfRule type="expression" dxfId="3148" priority="2562">
      <formula>IF(LEN(AQ4)&gt;0,1,0)</formula>
    </cfRule>
    <cfRule type="expression" dxfId="3147" priority="2563">
      <formula>IF(VLOOKUP($AQ$3,requiredAttributePTDMap,MATCH($A4,attributeMapFeedProductType,0)+1,FALSE)&gt;0,1,0)</formula>
    </cfRule>
    <cfRule type="expression" dxfId="3146" priority="2564">
      <formula>IF(VLOOKUP($AQ$3,optionalAttributePTDMap,MATCH($A4,attributeMapFeedProductType,0)+1,FALSE)&gt;0,1,0)</formula>
    </cfRule>
    <cfRule type="expression" dxfId="3145" priority="2565">
      <formula>IF(VLOOKUP($AQ$3,preferredAttributePTDMap,MATCH($A4,attributeMapFeedProductType,0)+1,FALSE)&gt;0,1,0)</formula>
    </cfRule>
    <cfRule type="expression" dxfId="3144" priority="256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8 AR13 AR18:AR1048576">
    <cfRule type="expression" dxfId="3143" priority="2567">
      <formula>IF(LEN(AR4)&gt;0,1,0)</formula>
    </cfRule>
    <cfRule type="expression" dxfId="3142" priority="2568">
      <formula>IF(VLOOKUP($AR$3,requiredAttributePTDMap,MATCH($A4,attributeMapFeedProductType,0)+1,FALSE)&gt;0,1,0)</formula>
    </cfRule>
    <cfRule type="expression" dxfId="3141" priority="2569">
      <formula>IF(VLOOKUP($AR$3,optionalAttributePTDMap,MATCH($A4,attributeMapFeedProductType,0)+1,FALSE)&gt;0,1,0)</formula>
    </cfRule>
    <cfRule type="expression" dxfId="3140" priority="2570">
      <formula>IF(VLOOKUP($AR$3,preferredAttributePTDMap,MATCH($A4,attributeMapFeedProductType,0)+1,FALSE)&gt;0,1,0)</formula>
    </cfRule>
    <cfRule type="expression" dxfId="3139" priority="257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8 AS13 AS18:AS1048576">
    <cfRule type="expression" dxfId="3138" priority="2572">
      <formula>IF(LEN(AS4)&gt;0,1,0)</formula>
    </cfRule>
    <cfRule type="expression" dxfId="3137" priority="2573">
      <formula>IF(VLOOKUP($AS$3,requiredAttributePTDMap,MATCH($A4,attributeMapFeedProductType,0)+1,FALSE)&gt;0,1,0)</formula>
    </cfRule>
    <cfRule type="expression" dxfId="3136" priority="2574">
      <formula>IF(VLOOKUP($AS$3,optionalAttributePTDMap,MATCH($A4,attributeMapFeedProductType,0)+1,FALSE)&gt;0,1,0)</formula>
    </cfRule>
    <cfRule type="expression" dxfId="3135" priority="2575">
      <formula>IF(VLOOKUP($AS$3,preferredAttributePTDMap,MATCH($A4,attributeMapFeedProductType,0)+1,FALSE)&gt;0,1,0)</formula>
    </cfRule>
    <cfRule type="expression" dxfId="3134" priority="257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8 AT13 AT18:AT1048576">
    <cfRule type="expression" dxfId="3133" priority="2577">
      <formula>IF(LEN(AT4)&gt;0,1,0)</formula>
    </cfRule>
    <cfRule type="expression" dxfId="3132" priority="2578">
      <formula>IF(VLOOKUP($AT$3,requiredAttributePTDMap,MATCH($A4,attributeMapFeedProductType,0)+1,FALSE)&gt;0,1,0)</formula>
    </cfRule>
    <cfRule type="expression" dxfId="3131" priority="2579">
      <formula>IF(VLOOKUP($AT$3,optionalAttributePTDMap,MATCH($A4,attributeMapFeedProductType,0)+1,FALSE)&gt;0,1,0)</formula>
    </cfRule>
    <cfRule type="expression" dxfId="3130" priority="2580">
      <formula>IF(VLOOKUP($AT$3,preferredAttributePTDMap,MATCH($A4,attributeMapFeedProductType,0)+1,FALSE)&gt;0,1,0)</formula>
    </cfRule>
    <cfRule type="expression" dxfId="3129" priority="258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8 AU13 AU18:AU1048576">
    <cfRule type="expression" dxfId="3128" priority="2582">
      <formula>IF(LEN(AU4)&gt;0,1,0)</formula>
    </cfRule>
    <cfRule type="expression" dxfId="3127" priority="2583">
      <formula>IF(VLOOKUP($AU$3,requiredAttributePTDMap,MATCH($A4,attributeMapFeedProductType,0)+1,FALSE)&gt;0,1,0)</formula>
    </cfRule>
    <cfRule type="expression" dxfId="3126" priority="2584">
      <formula>IF(VLOOKUP($AU$3,optionalAttributePTDMap,MATCH($A4,attributeMapFeedProductType,0)+1,FALSE)&gt;0,1,0)</formula>
    </cfRule>
    <cfRule type="expression" dxfId="3125" priority="2585">
      <formula>IF(VLOOKUP($AU$3,preferredAttributePTDMap,MATCH($A4,attributeMapFeedProductType,0)+1,FALSE)&gt;0,1,0)</formula>
    </cfRule>
    <cfRule type="expression" dxfId="3124" priority="258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8 AV13 AV18:AV1048576">
    <cfRule type="expression" dxfId="3123" priority="2587">
      <formula>IF(LEN(AV4)&gt;0,1,0)</formula>
    </cfRule>
    <cfRule type="expression" dxfId="3122" priority="2588">
      <formula>IF(VLOOKUP($AV$3,requiredAttributePTDMap,MATCH($A4,attributeMapFeedProductType,0)+1,FALSE)&gt;0,1,0)</formula>
    </cfRule>
    <cfRule type="expression" dxfId="3121" priority="2589">
      <formula>IF(VLOOKUP($AV$3,optionalAttributePTDMap,MATCH($A4,attributeMapFeedProductType,0)+1,FALSE)&gt;0,1,0)</formula>
    </cfRule>
    <cfRule type="expression" dxfId="3120" priority="2590">
      <formula>IF(VLOOKUP($AV$3,preferredAttributePTDMap,MATCH($A4,attributeMapFeedProductType,0)+1,FALSE)&gt;0,1,0)</formula>
    </cfRule>
    <cfRule type="expression" dxfId="3119" priority="259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8 AW13 AW18:AW1048576">
    <cfRule type="expression" dxfId="3118" priority="2592">
      <formula>IF(LEN(AW4)&gt;0,1,0)</formula>
    </cfRule>
    <cfRule type="expression" dxfId="3117" priority="2593">
      <formula>IF(VLOOKUP($AW$3,requiredAttributePTDMap,MATCH($A4,attributeMapFeedProductType,0)+1,FALSE)&gt;0,1,0)</formula>
    </cfRule>
    <cfRule type="expression" dxfId="3116" priority="2594">
      <formula>IF(VLOOKUP($AW$3,optionalAttributePTDMap,MATCH($A4,attributeMapFeedProductType,0)+1,FALSE)&gt;0,1,0)</formula>
    </cfRule>
    <cfRule type="expression" dxfId="3115" priority="2595">
      <formula>IF(VLOOKUP($AW$3,preferredAttributePTDMap,MATCH($A4,attributeMapFeedProductType,0)+1,FALSE)&gt;0,1,0)</formula>
    </cfRule>
    <cfRule type="expression" dxfId="3114" priority="259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8 AX13 AX18:AX1048576">
    <cfRule type="expression" dxfId="3113" priority="2597">
      <formula>IF(LEN(AX4)&gt;0,1,0)</formula>
    </cfRule>
    <cfRule type="expression" dxfId="3112" priority="2598">
      <formula>IF(VLOOKUP($AX$3,requiredAttributePTDMap,MATCH($A4,attributeMapFeedProductType,0)+1,FALSE)&gt;0,1,0)</formula>
    </cfRule>
    <cfRule type="expression" dxfId="3111" priority="2599">
      <formula>IF(VLOOKUP($AX$3,optionalAttributePTDMap,MATCH($A4,attributeMapFeedProductType,0)+1,FALSE)&gt;0,1,0)</formula>
    </cfRule>
    <cfRule type="expression" dxfId="3110" priority="2600">
      <formula>IF(VLOOKUP($AX$3,preferredAttributePTDMap,MATCH($A4,attributeMapFeedProductType,0)+1,FALSE)&gt;0,1,0)</formula>
    </cfRule>
    <cfRule type="expression" dxfId="3109" priority="260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8 AY13 AY18:AY1048576">
    <cfRule type="expression" dxfId="3108" priority="2602">
      <formula>IF(LEN(AY4)&gt;0,1,0)</formula>
    </cfRule>
    <cfRule type="expression" dxfId="3107" priority="2603">
      <formula>IF(VLOOKUP($AY$3,requiredAttributePTDMap,MATCH($A4,attributeMapFeedProductType,0)+1,FALSE)&gt;0,1,0)</formula>
    </cfRule>
    <cfRule type="expression" dxfId="3106" priority="2604">
      <formula>IF(VLOOKUP($AY$3,optionalAttributePTDMap,MATCH($A4,attributeMapFeedProductType,0)+1,FALSE)&gt;0,1,0)</formula>
    </cfRule>
    <cfRule type="expression" dxfId="3105" priority="2605">
      <formula>IF(VLOOKUP($AY$3,preferredAttributePTDMap,MATCH($A4,attributeMapFeedProductType,0)+1,FALSE)&gt;0,1,0)</formula>
    </cfRule>
    <cfRule type="expression" dxfId="3104" priority="260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8 AZ13 AZ18:AZ1048576">
    <cfRule type="expression" dxfId="3103" priority="2607">
      <formula>IF(LEN(AZ4)&gt;0,1,0)</formula>
    </cfRule>
    <cfRule type="expression" dxfId="3102" priority="2608">
      <formula>IF(VLOOKUP($AZ$3,requiredAttributePTDMap,MATCH($A4,attributeMapFeedProductType,0)+1,FALSE)&gt;0,1,0)</formula>
    </cfRule>
    <cfRule type="expression" dxfId="3101" priority="2609">
      <formula>IF(VLOOKUP($AZ$3,optionalAttributePTDMap,MATCH($A4,attributeMapFeedProductType,0)+1,FALSE)&gt;0,1,0)</formula>
    </cfRule>
    <cfRule type="expression" dxfId="3100" priority="2610">
      <formula>IF(VLOOKUP($AZ$3,preferredAttributePTDMap,MATCH($A4,attributeMapFeedProductType,0)+1,FALSE)&gt;0,1,0)</formula>
    </cfRule>
    <cfRule type="expression" dxfId="3099" priority="261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8 BA13 BA18:BA1048576">
    <cfRule type="expression" dxfId="3098" priority="2612">
      <formula>IF(LEN(BA4)&gt;0,1,0)</formula>
    </cfRule>
    <cfRule type="expression" dxfId="3097" priority="2613">
      <formula>IF(VLOOKUP($BA$3,requiredAttributePTDMap,MATCH($A4,attributeMapFeedProductType,0)+1,FALSE)&gt;0,1,0)</formula>
    </cfRule>
    <cfRule type="expression" dxfId="3096" priority="2614">
      <formula>IF(VLOOKUP($BA$3,optionalAttributePTDMap,MATCH($A4,attributeMapFeedProductType,0)+1,FALSE)&gt;0,1,0)</formula>
    </cfRule>
    <cfRule type="expression" dxfId="3095" priority="2615">
      <formula>IF(VLOOKUP($BA$3,preferredAttributePTDMap,MATCH($A4,attributeMapFeedProductType,0)+1,FALSE)&gt;0,1,0)</formula>
    </cfRule>
    <cfRule type="expression" dxfId="3094" priority="261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8 BB13 BB18:BB1048576">
    <cfRule type="expression" dxfId="3093" priority="2617">
      <formula>IF(LEN(BB4)&gt;0,1,0)</formula>
    </cfRule>
    <cfRule type="expression" dxfId="3092" priority="2618">
      <formula>IF(VLOOKUP($BB$3,requiredAttributePTDMap,MATCH($A4,attributeMapFeedProductType,0)+1,FALSE)&gt;0,1,0)</formula>
    </cfRule>
    <cfRule type="expression" dxfId="3091" priority="2619">
      <formula>IF(VLOOKUP($BB$3,optionalAttributePTDMap,MATCH($A4,attributeMapFeedProductType,0)+1,FALSE)&gt;0,1,0)</formula>
    </cfRule>
    <cfRule type="expression" dxfId="3090" priority="2620">
      <formula>IF(VLOOKUP($BB$3,preferredAttributePTDMap,MATCH($A4,attributeMapFeedProductType,0)+1,FALSE)&gt;0,1,0)</formula>
    </cfRule>
    <cfRule type="expression" dxfId="3089" priority="262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8 BC13 BC18:BC1048576">
    <cfRule type="expression" dxfId="3088" priority="2622">
      <formula>IF(LEN(BC4)&gt;0,1,0)</formula>
    </cfRule>
    <cfRule type="expression" dxfId="3087" priority="2623">
      <formula>IF(VLOOKUP($BC$3,requiredAttributePTDMap,MATCH($A4,attributeMapFeedProductType,0)+1,FALSE)&gt;0,1,0)</formula>
    </cfRule>
    <cfRule type="expression" dxfId="3086" priority="2624">
      <formula>IF(VLOOKUP($BC$3,optionalAttributePTDMap,MATCH($A4,attributeMapFeedProductType,0)+1,FALSE)&gt;0,1,0)</formula>
    </cfRule>
    <cfRule type="expression" dxfId="3085" priority="2625">
      <formula>IF(VLOOKUP($BC$3,preferredAttributePTDMap,MATCH($A4,attributeMapFeedProductType,0)+1,FALSE)&gt;0,1,0)</formula>
    </cfRule>
    <cfRule type="expression" dxfId="3084" priority="262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8 BD13 BD18:BD1048576">
    <cfRule type="expression" dxfId="3083" priority="2627">
      <formula>IF(LEN(BD4)&gt;0,1,0)</formula>
    </cfRule>
    <cfRule type="expression" dxfId="3082" priority="2628">
      <formula>IF(VLOOKUP($BD$3,requiredAttributePTDMap,MATCH($A4,attributeMapFeedProductType,0)+1,FALSE)&gt;0,1,0)</formula>
    </cfRule>
    <cfRule type="expression" dxfId="3081" priority="2629">
      <formula>IF(VLOOKUP($BD$3,optionalAttributePTDMap,MATCH($A4,attributeMapFeedProductType,0)+1,FALSE)&gt;0,1,0)</formula>
    </cfRule>
    <cfRule type="expression" dxfId="3080" priority="2630">
      <formula>IF(VLOOKUP($BD$3,preferredAttributePTDMap,MATCH($A4,attributeMapFeedProductType,0)+1,FALSE)&gt;0,1,0)</formula>
    </cfRule>
    <cfRule type="expression" dxfId="3079" priority="263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8 BE13 BE18:BE1048576">
    <cfRule type="expression" dxfId="3078" priority="2632">
      <formula>IF(LEN(BE4)&gt;0,1,0)</formula>
    </cfRule>
    <cfRule type="expression" dxfId="3077" priority="2633">
      <formula>IF(VLOOKUP($BE$3,requiredAttributePTDMap,MATCH($A4,attributeMapFeedProductType,0)+1,FALSE)&gt;0,1,0)</formula>
    </cfRule>
    <cfRule type="expression" dxfId="3076" priority="2634">
      <formula>IF(VLOOKUP($BE$3,optionalAttributePTDMap,MATCH($A4,attributeMapFeedProductType,0)+1,FALSE)&gt;0,1,0)</formula>
    </cfRule>
    <cfRule type="expression" dxfId="3075" priority="2635">
      <formula>IF(VLOOKUP($BE$3,preferredAttributePTDMap,MATCH($A4,attributeMapFeedProductType,0)+1,FALSE)&gt;0,1,0)</formula>
    </cfRule>
    <cfRule type="expression" dxfId="3074" priority="263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8 BF13 BF18:BF1048576">
    <cfRule type="expression" dxfId="3073" priority="2637">
      <formula>IF(LEN(BF4)&gt;0,1,0)</formula>
    </cfRule>
    <cfRule type="expression" dxfId="3072" priority="2638">
      <formula>IF(VLOOKUP($BF$3,requiredAttributePTDMap,MATCH($A4,attributeMapFeedProductType,0)+1,FALSE)&gt;0,1,0)</formula>
    </cfRule>
    <cfRule type="expression" dxfId="3071" priority="2639">
      <formula>IF(VLOOKUP($BF$3,optionalAttributePTDMap,MATCH($A4,attributeMapFeedProductType,0)+1,FALSE)&gt;0,1,0)</formula>
    </cfRule>
    <cfRule type="expression" dxfId="3070" priority="2640">
      <formula>IF(VLOOKUP($BF$3,preferredAttributePTDMap,MATCH($A4,attributeMapFeedProductType,0)+1,FALSE)&gt;0,1,0)</formula>
    </cfRule>
    <cfRule type="expression" dxfId="3069" priority="264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8 BG13 BG18:BG1048576">
    <cfRule type="expression" dxfId="3068" priority="2642">
      <formula>IF(LEN(BG4)&gt;0,1,0)</formula>
    </cfRule>
    <cfRule type="expression" dxfId="3067" priority="2643">
      <formula>IF(VLOOKUP($BG$3,requiredAttributePTDMap,MATCH($A4,attributeMapFeedProductType,0)+1,FALSE)&gt;0,1,0)</formula>
    </cfRule>
    <cfRule type="expression" dxfId="3066" priority="2644">
      <formula>IF(VLOOKUP($BG$3,optionalAttributePTDMap,MATCH($A4,attributeMapFeedProductType,0)+1,FALSE)&gt;0,1,0)</formula>
    </cfRule>
    <cfRule type="expression" dxfId="3065" priority="2645">
      <formula>IF(VLOOKUP($BG$3,preferredAttributePTDMap,MATCH($A4,attributeMapFeedProductType,0)+1,FALSE)&gt;0,1,0)</formula>
    </cfRule>
    <cfRule type="expression" dxfId="3064" priority="264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8 BH13 BH18:BH1048576">
    <cfRule type="expression" dxfId="3063" priority="2647">
      <formula>IF(LEN(BH4)&gt;0,1,0)</formula>
    </cfRule>
    <cfRule type="expression" dxfId="3062" priority="2648">
      <formula>IF(VLOOKUP($BH$3,requiredAttributePTDMap,MATCH($A4,attributeMapFeedProductType,0)+1,FALSE)&gt;0,1,0)</formula>
    </cfRule>
    <cfRule type="expression" dxfId="3061" priority="2649">
      <formula>IF(VLOOKUP($BH$3,optionalAttributePTDMap,MATCH($A4,attributeMapFeedProductType,0)+1,FALSE)&gt;0,1,0)</formula>
    </cfRule>
    <cfRule type="expression" dxfId="3060" priority="2650">
      <formula>IF(VLOOKUP($BH$3,preferredAttributePTDMap,MATCH($A4,attributeMapFeedProductType,0)+1,FALSE)&gt;0,1,0)</formula>
    </cfRule>
    <cfRule type="expression" dxfId="3059" priority="265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8 BI13 BI18:BI1048576">
    <cfRule type="expression" dxfId="3058" priority="2652">
      <formula>IF(LEN(BI4)&gt;0,1,0)</formula>
    </cfRule>
    <cfRule type="expression" dxfId="3057" priority="2653">
      <formula>IF(VLOOKUP($BI$3,requiredAttributePTDMap,MATCH($A4,attributeMapFeedProductType,0)+1,FALSE)&gt;0,1,0)</formula>
    </cfRule>
    <cfRule type="expression" dxfId="3056" priority="2654">
      <formula>IF(VLOOKUP($BI$3,optionalAttributePTDMap,MATCH($A4,attributeMapFeedProductType,0)+1,FALSE)&gt;0,1,0)</formula>
    </cfRule>
    <cfRule type="expression" dxfId="3055" priority="2655">
      <formula>IF(VLOOKUP($BI$3,preferredAttributePTDMap,MATCH($A4,attributeMapFeedProductType,0)+1,FALSE)&gt;0,1,0)</formula>
    </cfRule>
    <cfRule type="expression" dxfId="3054" priority="265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8 BJ13 BJ18:BJ1048576">
    <cfRule type="expression" dxfId="3053" priority="2657">
      <formula>IF(LEN(BJ4)&gt;0,1,0)</formula>
    </cfRule>
    <cfRule type="expression" dxfId="3052" priority="2658">
      <formula>IF(VLOOKUP($BJ$3,requiredAttributePTDMap,MATCH($A4,attributeMapFeedProductType,0)+1,FALSE)&gt;0,1,0)</formula>
    </cfRule>
    <cfRule type="expression" dxfId="3051" priority="2659">
      <formula>IF(VLOOKUP($BJ$3,optionalAttributePTDMap,MATCH($A4,attributeMapFeedProductType,0)+1,FALSE)&gt;0,1,0)</formula>
    </cfRule>
    <cfRule type="expression" dxfId="3050" priority="2660">
      <formula>IF(VLOOKUP($BJ$3,preferredAttributePTDMap,MATCH($A4,attributeMapFeedProductType,0)+1,FALSE)&gt;0,1,0)</formula>
    </cfRule>
    <cfRule type="expression" dxfId="3049" priority="266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8 BK13 BK18:BK1048576">
    <cfRule type="expression" dxfId="3048" priority="2662">
      <formula>IF(LEN(BK4)&gt;0,1,0)</formula>
    </cfRule>
    <cfRule type="expression" dxfId="3047" priority="2663">
      <formula>IF(VLOOKUP($BK$3,requiredAttributePTDMap,MATCH($A4,attributeMapFeedProductType,0)+1,FALSE)&gt;0,1,0)</formula>
    </cfRule>
    <cfRule type="expression" dxfId="3046" priority="2664">
      <formula>IF(VLOOKUP($BK$3,optionalAttributePTDMap,MATCH($A4,attributeMapFeedProductType,0)+1,FALSE)&gt;0,1,0)</formula>
    </cfRule>
    <cfRule type="expression" dxfId="3045" priority="2665">
      <formula>IF(VLOOKUP($BK$3,preferredAttributePTDMap,MATCH($A4,attributeMapFeedProductType,0)+1,FALSE)&gt;0,1,0)</formula>
    </cfRule>
    <cfRule type="expression" dxfId="3044" priority="266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8 BL13 BL18:BL1048576">
    <cfRule type="expression" dxfId="3043" priority="2667">
      <formula>IF(LEN(BL4)&gt;0,1,0)</formula>
    </cfRule>
    <cfRule type="expression" dxfId="3042" priority="2668">
      <formula>IF(VLOOKUP($BL$3,requiredAttributePTDMap,MATCH($A4,attributeMapFeedProductType,0)+1,FALSE)&gt;0,1,0)</formula>
    </cfRule>
    <cfRule type="expression" dxfId="3041" priority="2669">
      <formula>IF(VLOOKUP($BL$3,optionalAttributePTDMap,MATCH($A4,attributeMapFeedProductType,0)+1,FALSE)&gt;0,1,0)</formula>
    </cfRule>
    <cfRule type="expression" dxfId="3040" priority="2670">
      <formula>IF(VLOOKUP($BL$3,preferredAttributePTDMap,MATCH($A4,attributeMapFeedProductType,0)+1,FALSE)&gt;0,1,0)</formula>
    </cfRule>
    <cfRule type="expression" dxfId="3039" priority="267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8 BM13 BM18:BM1048576">
    <cfRule type="expression" dxfId="3038" priority="2672">
      <formula>IF(LEN(BM4)&gt;0,1,0)</formula>
    </cfRule>
    <cfRule type="expression" dxfId="3037" priority="2673">
      <formula>IF(VLOOKUP($BM$3,requiredAttributePTDMap,MATCH($A4,attributeMapFeedProductType,0)+1,FALSE)&gt;0,1,0)</formula>
    </cfRule>
    <cfRule type="expression" dxfId="3036" priority="2674">
      <formula>IF(VLOOKUP($BM$3,optionalAttributePTDMap,MATCH($A4,attributeMapFeedProductType,0)+1,FALSE)&gt;0,1,0)</formula>
    </cfRule>
    <cfRule type="expression" dxfId="3035" priority="2675">
      <formula>IF(VLOOKUP($BM$3,preferredAttributePTDMap,MATCH($A4,attributeMapFeedProductType,0)+1,FALSE)&gt;0,1,0)</formula>
    </cfRule>
    <cfRule type="expression" dxfId="3034" priority="267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8 BN13 BN18:BN1048576">
    <cfRule type="expression" dxfId="3033" priority="2677">
      <formula>IF(LEN(BN4)&gt;0,1,0)</formula>
    </cfRule>
    <cfRule type="expression" dxfId="3032" priority="2678">
      <formula>IF(VLOOKUP($BN$3,requiredAttributePTDMap,MATCH($A4,attributeMapFeedProductType,0)+1,FALSE)&gt;0,1,0)</formula>
    </cfRule>
    <cfRule type="expression" dxfId="3031" priority="2679">
      <formula>IF(VLOOKUP($BN$3,optionalAttributePTDMap,MATCH($A4,attributeMapFeedProductType,0)+1,FALSE)&gt;0,1,0)</formula>
    </cfRule>
    <cfRule type="expression" dxfId="3030" priority="2680">
      <formula>IF(VLOOKUP($BN$3,preferredAttributePTDMap,MATCH($A4,attributeMapFeedProductType,0)+1,FALSE)&gt;0,1,0)</formula>
    </cfRule>
    <cfRule type="expression" dxfId="3029" priority="268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8 BO13 BO18:BO1048576">
    <cfRule type="expression" dxfId="3028" priority="2682">
      <formula>IF(LEN(BO4)&gt;0,1,0)</formula>
    </cfRule>
    <cfRule type="expression" dxfId="3027" priority="2683">
      <formula>IF(VLOOKUP($BO$3,requiredAttributePTDMap,MATCH($A4,attributeMapFeedProductType,0)+1,FALSE)&gt;0,1,0)</formula>
    </cfRule>
    <cfRule type="expression" dxfId="3026" priority="2684">
      <formula>IF(VLOOKUP($BO$3,optionalAttributePTDMap,MATCH($A4,attributeMapFeedProductType,0)+1,FALSE)&gt;0,1,0)</formula>
    </cfRule>
    <cfRule type="expression" dxfId="3025" priority="2685">
      <formula>IF(VLOOKUP($BO$3,preferredAttributePTDMap,MATCH($A4,attributeMapFeedProductType,0)+1,FALSE)&gt;0,1,0)</formula>
    </cfRule>
    <cfRule type="expression" dxfId="3024" priority="268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8 BP13 BP18:BP1048576">
    <cfRule type="expression" dxfId="3023" priority="2687">
      <formula>IF(LEN(BP4)&gt;0,1,0)</formula>
    </cfRule>
    <cfRule type="expression" dxfId="3022" priority="2688">
      <formula>IF(VLOOKUP($BP$3,requiredAttributePTDMap,MATCH($A4,attributeMapFeedProductType,0)+1,FALSE)&gt;0,1,0)</formula>
    </cfRule>
    <cfRule type="expression" dxfId="3021" priority="2689">
      <formula>IF(VLOOKUP($BP$3,optionalAttributePTDMap,MATCH($A4,attributeMapFeedProductType,0)+1,FALSE)&gt;0,1,0)</formula>
    </cfRule>
    <cfRule type="expression" dxfId="3020" priority="2690">
      <formula>IF(VLOOKUP($BP$3,preferredAttributePTDMap,MATCH($A4,attributeMapFeedProductType,0)+1,FALSE)&gt;0,1,0)</formula>
    </cfRule>
    <cfRule type="expression" dxfId="3019" priority="269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8 BQ13 BQ18:BQ1048576">
    <cfRule type="expression" dxfId="3018" priority="2692">
      <formula>IF(LEN(BQ4)&gt;0,1,0)</formula>
    </cfRule>
    <cfRule type="expression" dxfId="3017" priority="2693">
      <formula>IF(VLOOKUP($BQ$3,requiredAttributePTDMap,MATCH($A4,attributeMapFeedProductType,0)+1,FALSE)&gt;0,1,0)</formula>
    </cfRule>
    <cfRule type="expression" dxfId="3016" priority="2694">
      <formula>IF(VLOOKUP($BQ$3,optionalAttributePTDMap,MATCH($A4,attributeMapFeedProductType,0)+1,FALSE)&gt;0,1,0)</formula>
    </cfRule>
    <cfRule type="expression" dxfId="3015" priority="2695">
      <formula>IF(VLOOKUP($BQ$3,preferredAttributePTDMap,MATCH($A4,attributeMapFeedProductType,0)+1,FALSE)&gt;0,1,0)</formula>
    </cfRule>
    <cfRule type="expression" dxfId="3014" priority="269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8 BR13 BR18:BR1048576">
    <cfRule type="expression" dxfId="3013" priority="2697">
      <formula>IF(LEN(BR4)&gt;0,1,0)</formula>
    </cfRule>
    <cfRule type="expression" dxfId="3012" priority="2698">
      <formula>IF(VLOOKUP($BR$3,requiredAttributePTDMap,MATCH($A4,attributeMapFeedProductType,0)+1,FALSE)&gt;0,1,0)</formula>
    </cfRule>
    <cfRule type="expression" dxfId="3011" priority="2699">
      <formula>IF(VLOOKUP($BR$3,optionalAttributePTDMap,MATCH($A4,attributeMapFeedProductType,0)+1,FALSE)&gt;0,1,0)</formula>
    </cfRule>
    <cfRule type="expression" dxfId="3010" priority="2700">
      <formula>IF(VLOOKUP($BR$3,preferredAttributePTDMap,MATCH($A4,attributeMapFeedProductType,0)+1,FALSE)&gt;0,1,0)</formula>
    </cfRule>
    <cfRule type="expression" dxfId="3009" priority="270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8 BS13 BS18:BS1048576">
    <cfRule type="expression" dxfId="3008" priority="2702">
      <formula>IF(LEN(BS4)&gt;0,1,0)</formula>
    </cfRule>
    <cfRule type="expression" dxfId="3007" priority="2703">
      <formula>IF(VLOOKUP($BS$3,requiredAttributePTDMap,MATCH($A4,attributeMapFeedProductType,0)+1,FALSE)&gt;0,1,0)</formula>
    </cfRule>
    <cfRule type="expression" dxfId="3006" priority="2704">
      <formula>IF(VLOOKUP($BS$3,optionalAttributePTDMap,MATCH($A4,attributeMapFeedProductType,0)+1,FALSE)&gt;0,1,0)</formula>
    </cfRule>
    <cfRule type="expression" dxfId="3005" priority="2705">
      <formula>IF(VLOOKUP($BS$3,preferredAttributePTDMap,MATCH($A4,attributeMapFeedProductType,0)+1,FALSE)&gt;0,1,0)</formula>
    </cfRule>
    <cfRule type="expression" dxfId="3004" priority="270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8 BT13 BT18:BT1048576">
    <cfRule type="expression" dxfId="3003" priority="2707">
      <formula>IF(LEN(BT4)&gt;0,1,0)</formula>
    </cfRule>
    <cfRule type="expression" dxfId="3002" priority="2708">
      <formula>IF(VLOOKUP($BT$3,requiredAttributePTDMap,MATCH($A4,attributeMapFeedProductType,0)+1,FALSE)&gt;0,1,0)</formula>
    </cfRule>
    <cfRule type="expression" dxfId="3001" priority="2709">
      <formula>IF(VLOOKUP($BT$3,optionalAttributePTDMap,MATCH($A4,attributeMapFeedProductType,0)+1,FALSE)&gt;0,1,0)</formula>
    </cfRule>
    <cfRule type="expression" dxfId="3000" priority="2710">
      <formula>IF(VLOOKUP($BT$3,preferredAttributePTDMap,MATCH($A4,attributeMapFeedProductType,0)+1,FALSE)&gt;0,1,0)</formula>
    </cfRule>
    <cfRule type="expression" dxfId="2999" priority="271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8 BU13 BU18:BU1048576">
    <cfRule type="expression" dxfId="2998" priority="2712">
      <formula>IF(LEN(BU4)&gt;0,1,0)</formula>
    </cfRule>
    <cfRule type="expression" dxfId="2997" priority="2713">
      <formula>IF(VLOOKUP($BU$3,requiredAttributePTDMap,MATCH($A4,attributeMapFeedProductType,0)+1,FALSE)&gt;0,1,0)</formula>
    </cfRule>
    <cfRule type="expression" dxfId="2996" priority="2714">
      <formula>IF(VLOOKUP($BU$3,optionalAttributePTDMap,MATCH($A4,attributeMapFeedProductType,0)+1,FALSE)&gt;0,1,0)</formula>
    </cfRule>
    <cfRule type="expression" dxfId="2995" priority="2715">
      <formula>IF(VLOOKUP($BU$3,preferredAttributePTDMap,MATCH($A4,attributeMapFeedProductType,0)+1,FALSE)&gt;0,1,0)</formula>
    </cfRule>
    <cfRule type="expression" dxfId="2994" priority="271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8 BV13 BV18:BV1048576">
    <cfRule type="expression" dxfId="2993" priority="2717">
      <formula>IF(LEN(BV4)&gt;0,1,0)</formula>
    </cfRule>
    <cfRule type="expression" dxfId="2992" priority="2718">
      <formula>IF(VLOOKUP($BV$3,requiredAttributePTDMap,MATCH($A4,attributeMapFeedProductType,0)+1,FALSE)&gt;0,1,0)</formula>
    </cfRule>
    <cfRule type="expression" dxfId="2991" priority="2719">
      <formula>IF(VLOOKUP($BV$3,optionalAttributePTDMap,MATCH($A4,attributeMapFeedProductType,0)+1,FALSE)&gt;0,1,0)</formula>
    </cfRule>
    <cfRule type="expression" dxfId="2990" priority="2720">
      <formula>IF(VLOOKUP($BV$3,preferredAttributePTDMap,MATCH($A4,attributeMapFeedProductType,0)+1,FALSE)&gt;0,1,0)</formula>
    </cfRule>
    <cfRule type="expression" dxfId="2989" priority="272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8 BW13 BW18:BW1048576">
    <cfRule type="expression" dxfId="2988" priority="2722">
      <formula>IF(LEN(BW4)&gt;0,1,0)</formula>
    </cfRule>
    <cfRule type="expression" dxfId="2987" priority="2723">
      <formula>IF(VLOOKUP($BW$3,requiredAttributePTDMap,MATCH($A4,attributeMapFeedProductType,0)+1,FALSE)&gt;0,1,0)</formula>
    </cfRule>
    <cfRule type="expression" dxfId="2986" priority="2724">
      <formula>IF(VLOOKUP($BW$3,optionalAttributePTDMap,MATCH($A4,attributeMapFeedProductType,0)+1,FALSE)&gt;0,1,0)</formula>
    </cfRule>
    <cfRule type="expression" dxfId="2985" priority="2725">
      <formula>IF(VLOOKUP($BW$3,preferredAttributePTDMap,MATCH($A4,attributeMapFeedProductType,0)+1,FALSE)&gt;0,1,0)</formula>
    </cfRule>
    <cfRule type="expression" dxfId="2984" priority="272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8 BX13 BX18:BX1048576">
    <cfRule type="expression" dxfId="2983" priority="2727">
      <formula>IF(LEN(BX4)&gt;0,1,0)</formula>
    </cfRule>
    <cfRule type="expression" dxfId="2982" priority="2728">
      <formula>IF(VLOOKUP($BX$3,requiredAttributePTDMap,MATCH($A4,attributeMapFeedProductType,0)+1,FALSE)&gt;0,1,0)</formula>
    </cfRule>
    <cfRule type="expression" dxfId="2981" priority="2729">
      <formula>IF(VLOOKUP($BX$3,optionalAttributePTDMap,MATCH($A4,attributeMapFeedProductType,0)+1,FALSE)&gt;0,1,0)</formula>
    </cfRule>
    <cfRule type="expression" dxfId="2980" priority="2730">
      <formula>IF(VLOOKUP($BX$3,preferredAttributePTDMap,MATCH($A4,attributeMapFeedProductType,0)+1,FALSE)&gt;0,1,0)</formula>
    </cfRule>
    <cfRule type="expression" dxfId="2979" priority="273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8 BY13 BY18:BY1048576">
    <cfRule type="expression" dxfId="2978" priority="2732">
      <formula>IF(LEN(BY4)&gt;0,1,0)</formula>
    </cfRule>
    <cfRule type="expression" dxfId="2977" priority="2733">
      <formula>IF(VLOOKUP($BY$3,requiredAttributePTDMap,MATCH($A4,attributeMapFeedProductType,0)+1,FALSE)&gt;0,1,0)</formula>
    </cfRule>
    <cfRule type="expression" dxfId="2976" priority="2734">
      <formula>IF(VLOOKUP($BY$3,optionalAttributePTDMap,MATCH($A4,attributeMapFeedProductType,0)+1,FALSE)&gt;0,1,0)</formula>
    </cfRule>
    <cfRule type="expression" dxfId="2975" priority="2735">
      <formula>IF(VLOOKUP($BY$3,preferredAttributePTDMap,MATCH($A4,attributeMapFeedProductType,0)+1,FALSE)&gt;0,1,0)</formula>
    </cfRule>
    <cfRule type="expression" dxfId="2974" priority="273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8 BZ13 BZ18:BZ1048576">
    <cfRule type="expression" dxfId="2973" priority="2737">
      <formula>IF(LEN(BZ4)&gt;0,1,0)</formula>
    </cfRule>
    <cfRule type="expression" dxfId="2972" priority="2738">
      <formula>IF(VLOOKUP($BZ$3,requiredAttributePTDMap,MATCH($A4,attributeMapFeedProductType,0)+1,FALSE)&gt;0,1,0)</formula>
    </cfRule>
    <cfRule type="expression" dxfId="2971" priority="2739">
      <formula>IF(VLOOKUP($BZ$3,optionalAttributePTDMap,MATCH($A4,attributeMapFeedProductType,0)+1,FALSE)&gt;0,1,0)</formula>
    </cfRule>
    <cfRule type="expression" dxfId="2970" priority="2740">
      <formula>IF(VLOOKUP($BZ$3,preferredAttributePTDMap,MATCH($A4,attributeMapFeedProductType,0)+1,FALSE)&gt;0,1,0)</formula>
    </cfRule>
    <cfRule type="expression" dxfId="2969" priority="274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8 CA13 CA18:CA1048576">
    <cfRule type="expression" dxfId="2968" priority="2742">
      <formula>IF(LEN(CA4)&gt;0,1,0)</formula>
    </cfRule>
    <cfRule type="expression" dxfId="2967" priority="2743">
      <formula>IF(VLOOKUP($CA$3,requiredAttributePTDMap,MATCH($A4,attributeMapFeedProductType,0)+1,FALSE)&gt;0,1,0)</formula>
    </cfRule>
    <cfRule type="expression" dxfId="2966" priority="2744">
      <formula>IF(VLOOKUP($CA$3,optionalAttributePTDMap,MATCH($A4,attributeMapFeedProductType,0)+1,FALSE)&gt;0,1,0)</formula>
    </cfRule>
    <cfRule type="expression" dxfId="2965" priority="2745">
      <formula>IF(VLOOKUP($CA$3,preferredAttributePTDMap,MATCH($A4,attributeMapFeedProductType,0)+1,FALSE)&gt;0,1,0)</formula>
    </cfRule>
    <cfRule type="expression" dxfId="2964" priority="274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8 CB13 CB18:CB1048576">
    <cfRule type="expression" dxfId="2963" priority="2747">
      <formula>IF(LEN(CB4)&gt;0,1,0)</formula>
    </cfRule>
    <cfRule type="expression" dxfId="2962" priority="2748">
      <formula>IF(VLOOKUP($CB$3,requiredAttributePTDMap,MATCH($A4,attributeMapFeedProductType,0)+1,FALSE)&gt;0,1,0)</formula>
    </cfRule>
    <cfRule type="expression" dxfId="2961" priority="2749">
      <formula>IF(VLOOKUP($CB$3,optionalAttributePTDMap,MATCH($A4,attributeMapFeedProductType,0)+1,FALSE)&gt;0,1,0)</formula>
    </cfRule>
    <cfRule type="expression" dxfId="2960" priority="2750">
      <formula>IF(VLOOKUP($CB$3,preferredAttributePTDMap,MATCH($A4,attributeMapFeedProductType,0)+1,FALSE)&gt;0,1,0)</formula>
    </cfRule>
    <cfRule type="expression" dxfId="2959" priority="275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8 CC13 CC18:CC1048576">
    <cfRule type="expression" dxfId="2958" priority="2752">
      <formula>IF(LEN(CC4)&gt;0,1,0)</formula>
    </cfRule>
    <cfRule type="expression" dxfId="2957" priority="2753">
      <formula>IF(VLOOKUP($CC$3,requiredAttributePTDMap,MATCH($A4,attributeMapFeedProductType,0)+1,FALSE)&gt;0,1,0)</formula>
    </cfRule>
    <cfRule type="expression" dxfId="2956" priority="2754">
      <formula>IF(VLOOKUP($CC$3,optionalAttributePTDMap,MATCH($A4,attributeMapFeedProductType,0)+1,FALSE)&gt;0,1,0)</formula>
    </cfRule>
    <cfRule type="expression" dxfId="2955" priority="2755">
      <formula>IF(VLOOKUP($CC$3,preferredAttributePTDMap,MATCH($A4,attributeMapFeedProductType,0)+1,FALSE)&gt;0,1,0)</formula>
    </cfRule>
    <cfRule type="expression" dxfId="2954" priority="275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8 CD13 CD18:CD1048576">
    <cfRule type="expression" dxfId="2953" priority="2757">
      <formula>IF(LEN(CD4)&gt;0,1,0)</formula>
    </cfRule>
    <cfRule type="expression" dxfId="2952" priority="2758">
      <formula>IF(VLOOKUP($CD$3,requiredAttributePTDMap,MATCH($A4,attributeMapFeedProductType,0)+1,FALSE)&gt;0,1,0)</formula>
    </cfRule>
    <cfRule type="expression" dxfId="2951" priority="2759">
      <formula>IF(VLOOKUP($CD$3,optionalAttributePTDMap,MATCH($A4,attributeMapFeedProductType,0)+1,FALSE)&gt;0,1,0)</formula>
    </cfRule>
    <cfRule type="expression" dxfId="2950" priority="2760">
      <formula>IF(VLOOKUP($CD$3,preferredAttributePTDMap,MATCH($A4,attributeMapFeedProductType,0)+1,FALSE)&gt;0,1,0)</formula>
    </cfRule>
    <cfRule type="expression" dxfId="2949" priority="276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8 CE13 CE18:CE1048576">
    <cfRule type="expression" dxfId="2948" priority="2762">
      <formula>IF(LEN(CE4)&gt;0,1,0)</formula>
    </cfRule>
    <cfRule type="expression" dxfId="2947" priority="2763">
      <formula>IF(VLOOKUP($CE$3,requiredAttributePTDMap,MATCH($A4,attributeMapFeedProductType,0)+1,FALSE)&gt;0,1,0)</formula>
    </cfRule>
    <cfRule type="expression" dxfId="2946" priority="2764">
      <formula>IF(VLOOKUP($CE$3,optionalAttributePTDMap,MATCH($A4,attributeMapFeedProductType,0)+1,FALSE)&gt;0,1,0)</formula>
    </cfRule>
    <cfRule type="expression" dxfId="2945" priority="2765">
      <formula>IF(VLOOKUP($CE$3,preferredAttributePTDMap,MATCH($A4,attributeMapFeedProductType,0)+1,FALSE)&gt;0,1,0)</formula>
    </cfRule>
    <cfRule type="expression" dxfId="2944" priority="276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8 CF13 CF18:CF1048576">
    <cfRule type="expression" dxfId="2943" priority="2767">
      <formula>IF(LEN(CF4)&gt;0,1,0)</formula>
    </cfRule>
    <cfRule type="expression" dxfId="2942" priority="2768">
      <formula>IF(VLOOKUP($CF$3,requiredAttributePTDMap,MATCH($A4,attributeMapFeedProductType,0)+1,FALSE)&gt;0,1,0)</formula>
    </cfRule>
    <cfRule type="expression" dxfId="2941" priority="2769">
      <formula>IF(VLOOKUP($CF$3,optionalAttributePTDMap,MATCH($A4,attributeMapFeedProductType,0)+1,FALSE)&gt;0,1,0)</formula>
    </cfRule>
    <cfRule type="expression" dxfId="2940" priority="2770">
      <formula>IF(VLOOKUP($CF$3,preferredAttributePTDMap,MATCH($A4,attributeMapFeedProductType,0)+1,FALSE)&gt;0,1,0)</formula>
    </cfRule>
    <cfRule type="expression" dxfId="2939" priority="277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8 CG13 CG18:CG1048576">
    <cfRule type="expression" dxfId="2938" priority="2772">
      <formula>IF(LEN(CG4)&gt;0,1,0)</formula>
    </cfRule>
    <cfRule type="expression" dxfId="2937" priority="2773">
      <formula>IF(VLOOKUP($CG$3,requiredAttributePTDMap,MATCH($A4,attributeMapFeedProductType,0)+1,FALSE)&gt;0,1,0)</formula>
    </cfRule>
    <cfRule type="expression" dxfId="2936" priority="2774">
      <formula>IF(VLOOKUP($CG$3,optionalAttributePTDMap,MATCH($A4,attributeMapFeedProductType,0)+1,FALSE)&gt;0,1,0)</formula>
    </cfRule>
    <cfRule type="expression" dxfId="2935" priority="2775">
      <formula>IF(VLOOKUP($CG$3,preferredAttributePTDMap,MATCH($A4,attributeMapFeedProductType,0)+1,FALSE)&gt;0,1,0)</formula>
    </cfRule>
    <cfRule type="expression" dxfId="2934" priority="277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I4:CI8 CI13 CI18:CI1048576">
    <cfRule type="expression" dxfId="2933" priority="2782">
      <formula>IF(LEN(CI4)&gt;0,1,0)</formula>
    </cfRule>
    <cfRule type="expression" dxfId="2932" priority="2783">
      <formula>IF(VLOOKUP($CI$3,requiredAttributePTDMap,MATCH($A4,attributeMapFeedProductType,0)+1,FALSE)&gt;0,1,0)</formula>
    </cfRule>
    <cfRule type="expression" dxfId="2931" priority="2784">
      <formula>IF(VLOOKUP($CI$3,optionalAttributePTDMap,MATCH($A4,attributeMapFeedProductType,0)+1,FALSE)&gt;0,1,0)</formula>
    </cfRule>
    <cfRule type="expression" dxfId="2930" priority="2785">
      <formula>IF(VLOOKUP($CI$3,preferredAttributePTDMap,MATCH($A4,attributeMapFeedProductType,0)+1,FALSE)&gt;0,1,0)</formula>
    </cfRule>
    <cfRule type="expression" dxfId="2929" priority="278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8 CJ13 CJ18:CJ1048576">
    <cfRule type="expression" dxfId="2928" priority="2787">
      <formula>IF(LEN(CJ4)&gt;0,1,0)</formula>
    </cfRule>
    <cfRule type="expression" dxfId="2927" priority="2788">
      <formula>IF(VLOOKUP($CJ$3,requiredAttributePTDMap,MATCH($A4,attributeMapFeedProductType,0)+1,FALSE)&gt;0,1,0)</formula>
    </cfRule>
    <cfRule type="expression" dxfId="2926" priority="2789">
      <formula>IF(VLOOKUP($CJ$3,optionalAttributePTDMap,MATCH($A4,attributeMapFeedProductType,0)+1,FALSE)&gt;0,1,0)</formula>
    </cfRule>
    <cfRule type="expression" dxfId="2925" priority="2790">
      <formula>IF(VLOOKUP($CJ$3,preferredAttributePTDMap,MATCH($A4,attributeMapFeedProductType,0)+1,FALSE)&gt;0,1,0)</formula>
    </cfRule>
    <cfRule type="expression" dxfId="2924" priority="279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8 CK13 CK18:CK1048576">
    <cfRule type="expression" dxfId="2923" priority="2792">
      <formula>IF(LEN(CK4)&gt;0,1,0)</formula>
    </cfRule>
    <cfRule type="expression" dxfId="2922" priority="2793">
      <formula>IF(VLOOKUP($CK$3,requiredAttributePTDMap,MATCH($A4,attributeMapFeedProductType,0)+1,FALSE)&gt;0,1,0)</formula>
    </cfRule>
    <cfRule type="expression" dxfId="2921" priority="2794">
      <formula>IF(VLOOKUP($CK$3,optionalAttributePTDMap,MATCH($A4,attributeMapFeedProductType,0)+1,FALSE)&gt;0,1,0)</formula>
    </cfRule>
    <cfRule type="expression" dxfId="2920" priority="2795">
      <formula>IF(VLOOKUP($CK$3,preferredAttributePTDMap,MATCH($A4,attributeMapFeedProductType,0)+1,FALSE)&gt;0,1,0)</formula>
    </cfRule>
    <cfRule type="expression" dxfId="2919" priority="279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8 CL13 CL18:CL1048576">
    <cfRule type="expression" dxfId="2918" priority="2797">
      <formula>IF(LEN(CL4)&gt;0,1,0)</formula>
    </cfRule>
    <cfRule type="expression" dxfId="2917" priority="2798">
      <formula>IF(VLOOKUP($CL$3,requiredAttributePTDMap,MATCH($A4,attributeMapFeedProductType,0)+1,FALSE)&gt;0,1,0)</formula>
    </cfRule>
    <cfRule type="expression" dxfId="2916" priority="2799">
      <formula>IF(VLOOKUP($CL$3,optionalAttributePTDMap,MATCH($A4,attributeMapFeedProductType,0)+1,FALSE)&gt;0,1,0)</formula>
    </cfRule>
    <cfRule type="expression" dxfId="2915" priority="2800">
      <formula>IF(VLOOKUP($CL$3,preferredAttributePTDMap,MATCH($A4,attributeMapFeedProductType,0)+1,FALSE)&gt;0,1,0)</formula>
    </cfRule>
    <cfRule type="expression" dxfId="2914" priority="280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8 CM13 CM18:CM1048576">
    <cfRule type="expression" dxfId="2913" priority="2802">
      <formula>IF(LEN(CM4)&gt;0,1,0)</formula>
    </cfRule>
    <cfRule type="expression" dxfId="2912" priority="2803">
      <formula>IF(VLOOKUP($CM$3,requiredAttributePTDMap,MATCH($A4,attributeMapFeedProductType,0)+1,FALSE)&gt;0,1,0)</formula>
    </cfRule>
    <cfRule type="expression" dxfId="2911" priority="2804">
      <formula>IF(VLOOKUP($CM$3,optionalAttributePTDMap,MATCH($A4,attributeMapFeedProductType,0)+1,FALSE)&gt;0,1,0)</formula>
    </cfRule>
    <cfRule type="expression" dxfId="2910" priority="2805">
      <formula>IF(VLOOKUP($CM$3,preferredAttributePTDMap,MATCH($A4,attributeMapFeedProductType,0)+1,FALSE)&gt;0,1,0)</formula>
    </cfRule>
    <cfRule type="expression" dxfId="2909" priority="280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8 CN13 CN18:CN1048576">
    <cfRule type="expression" dxfId="2908" priority="2807">
      <formula>IF(LEN(CN4)&gt;0,1,0)</formula>
    </cfRule>
    <cfRule type="expression" dxfId="2907" priority="2808">
      <formula>IF(VLOOKUP($CN$3,requiredAttributePTDMap,MATCH($A4,attributeMapFeedProductType,0)+1,FALSE)&gt;0,1,0)</formula>
    </cfRule>
    <cfRule type="expression" dxfId="2906" priority="2809">
      <formula>IF(VLOOKUP($CN$3,optionalAttributePTDMap,MATCH($A4,attributeMapFeedProductType,0)+1,FALSE)&gt;0,1,0)</formula>
    </cfRule>
    <cfRule type="expression" dxfId="2905" priority="2810">
      <formula>IF(VLOOKUP($CN$3,preferredAttributePTDMap,MATCH($A4,attributeMapFeedProductType,0)+1,FALSE)&gt;0,1,0)</formula>
    </cfRule>
    <cfRule type="expression" dxfId="2904" priority="281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8 CO13 CO18:CO1048576">
    <cfRule type="expression" dxfId="2903" priority="2812">
      <formula>IF(LEN(CO4)&gt;0,1,0)</formula>
    </cfRule>
    <cfRule type="expression" dxfId="2902" priority="2813">
      <formula>IF(VLOOKUP($CO$3,requiredAttributePTDMap,MATCH($A4,attributeMapFeedProductType,0)+1,FALSE)&gt;0,1,0)</formula>
    </cfRule>
    <cfRule type="expression" dxfId="2901" priority="2814">
      <formula>IF(VLOOKUP($CO$3,optionalAttributePTDMap,MATCH($A4,attributeMapFeedProductType,0)+1,FALSE)&gt;0,1,0)</formula>
    </cfRule>
    <cfRule type="expression" dxfId="2900" priority="2815">
      <formula>IF(VLOOKUP($CO$3,preferredAttributePTDMap,MATCH($A4,attributeMapFeedProductType,0)+1,FALSE)&gt;0,1,0)</formula>
    </cfRule>
    <cfRule type="expression" dxfId="2899" priority="281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8 CP13 CP18:CP1048576">
    <cfRule type="expression" dxfId="2898" priority="2817">
      <formula>IF(LEN(CP4)&gt;0,1,0)</formula>
    </cfRule>
    <cfRule type="expression" dxfId="2897" priority="2818">
      <formula>IF(VLOOKUP($CP$3,requiredAttributePTDMap,MATCH($A4,attributeMapFeedProductType,0)+1,FALSE)&gt;0,1,0)</formula>
    </cfRule>
    <cfRule type="expression" dxfId="2896" priority="2819">
      <formula>IF(VLOOKUP($CP$3,optionalAttributePTDMap,MATCH($A4,attributeMapFeedProductType,0)+1,FALSE)&gt;0,1,0)</formula>
    </cfRule>
    <cfRule type="expression" dxfId="2895" priority="2820">
      <formula>IF(VLOOKUP($CP$3,preferredAttributePTDMap,MATCH($A4,attributeMapFeedProductType,0)+1,FALSE)&gt;0,1,0)</formula>
    </cfRule>
    <cfRule type="expression" dxfId="2894" priority="282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8 CQ13 CQ18:CQ1048576">
    <cfRule type="expression" dxfId="2893" priority="2822">
      <formula>IF(LEN(CQ4)&gt;0,1,0)</formula>
    </cfRule>
    <cfRule type="expression" dxfId="2892" priority="2823">
      <formula>IF(VLOOKUP($CQ$3,requiredAttributePTDMap,MATCH($A4,attributeMapFeedProductType,0)+1,FALSE)&gt;0,1,0)</formula>
    </cfRule>
    <cfRule type="expression" dxfId="2891" priority="2824">
      <formula>IF(VLOOKUP($CQ$3,optionalAttributePTDMap,MATCH($A4,attributeMapFeedProductType,0)+1,FALSE)&gt;0,1,0)</formula>
    </cfRule>
    <cfRule type="expression" dxfId="2890" priority="2825">
      <formula>IF(VLOOKUP($CQ$3,preferredAttributePTDMap,MATCH($A4,attributeMapFeedProductType,0)+1,FALSE)&gt;0,1,0)</formula>
    </cfRule>
    <cfRule type="expression" dxfId="2889" priority="282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8 CR13 CR18:CR1048576">
    <cfRule type="expression" dxfId="2888" priority="2827">
      <formula>IF(LEN(CR4)&gt;0,1,0)</formula>
    </cfRule>
    <cfRule type="expression" dxfId="2887" priority="2828">
      <formula>IF(VLOOKUP($CR$3,requiredAttributePTDMap,MATCH($A4,attributeMapFeedProductType,0)+1,FALSE)&gt;0,1,0)</formula>
    </cfRule>
    <cfRule type="expression" dxfId="2886" priority="2829">
      <formula>IF(VLOOKUP($CR$3,optionalAttributePTDMap,MATCH($A4,attributeMapFeedProductType,0)+1,FALSE)&gt;0,1,0)</formula>
    </cfRule>
    <cfRule type="expression" dxfId="2885" priority="2830">
      <formula>IF(VLOOKUP($CR$3,preferredAttributePTDMap,MATCH($A4,attributeMapFeedProductType,0)+1,FALSE)&gt;0,1,0)</formula>
    </cfRule>
    <cfRule type="expression" dxfId="2884" priority="283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8 CS13 CS18:CS1048576">
    <cfRule type="expression" dxfId="2883" priority="2832">
      <formula>IF(LEN(CS4)&gt;0,1,0)</formula>
    </cfRule>
    <cfRule type="expression" dxfId="2882" priority="2833">
      <formula>IF(VLOOKUP($CS$3,requiredAttributePTDMap,MATCH($A4,attributeMapFeedProductType,0)+1,FALSE)&gt;0,1,0)</formula>
    </cfRule>
    <cfRule type="expression" dxfId="2881" priority="2834">
      <formula>IF(VLOOKUP($CS$3,optionalAttributePTDMap,MATCH($A4,attributeMapFeedProductType,0)+1,FALSE)&gt;0,1,0)</formula>
    </cfRule>
    <cfRule type="expression" dxfId="2880" priority="2835">
      <formula>IF(VLOOKUP($CS$3,preferredAttributePTDMap,MATCH($A4,attributeMapFeedProductType,0)+1,FALSE)&gt;0,1,0)</formula>
    </cfRule>
    <cfRule type="expression" dxfId="2879" priority="283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8 CT13 CT18:CT1048576">
    <cfRule type="expression" dxfId="2878" priority="2837">
      <formula>AND(AND((0)),1=1)</formula>
    </cfRule>
    <cfRule type="expression" dxfId="2877" priority="2838">
      <formula>AND(AND(OR(AND(OR(OR(NOT(DQ4&lt;&gt;"not_applicable"),DQ4="")),OR(OR(NOT(DR4&lt;&gt;"not_applicable"),DR4="")),OR(OR(NOT(DS4&lt;&gt;"not_applicable"),DS4="")),OR(OR(NOT(DT4&lt;&gt;"not_applicable"),DT4="")),OR(OR(NOT(DU4&lt;&gt;"not_applicable"),DU4="")))),A4&lt;&gt;""))</formula>
    </cfRule>
    <cfRule type="expression" dxfId="2876" priority="2839">
      <formula>IF(LEN(CT4)&gt;0,1,0)</formula>
    </cfRule>
    <cfRule type="expression" dxfId="2875" priority="2840">
      <formula>IF(VLOOKUP($CT$3,requiredAttributePTDMap,MATCH($A4,attributeMapFeedProductType,0)+1,FALSE)&gt;0,1,0)</formula>
    </cfRule>
    <cfRule type="expression" dxfId="2874" priority="2841">
      <formula>IF(VLOOKUP($CT$3,optionalAttributePTDMap,MATCH($A4,attributeMapFeedProductType,0)+1,FALSE)&gt;0,1,0)</formula>
    </cfRule>
    <cfRule type="expression" dxfId="2873" priority="2842">
      <formula>IF(VLOOKUP($CT$3,preferredAttributePTDMap,MATCH($A4,attributeMapFeedProductType,0)+1,FALSE)&gt;0,1,0)</formula>
    </cfRule>
    <cfRule type="expression" dxfId="2872" priority="2843">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8 CU13 CU18:CU1048576">
    <cfRule type="expression" dxfId="2871" priority="2844">
      <formula>AND(AND((0)),1=1)</formula>
    </cfRule>
    <cfRule type="expression" dxfId="2870" priority="2845">
      <formula>AND(AND(OR(AND(OR(OR(NOT(DQ4&lt;&gt;"not_applicable"),DQ4="")),OR(OR(NOT(DR4&lt;&gt;"not_applicable"),DR4="")),OR(OR(NOT(DS4&lt;&gt;"not_applicable"),DS4="")),OR(OR(NOT(DT4&lt;&gt;"not_applicable"),DT4="")),OR(OR(NOT(DU4&lt;&gt;"not_applicable"),DU4="")))),A4&lt;&gt;""))</formula>
    </cfRule>
    <cfRule type="expression" dxfId="2869" priority="2846">
      <formula>IF(LEN(CU4)&gt;0,1,0)</formula>
    </cfRule>
    <cfRule type="expression" dxfId="2868" priority="2847">
      <formula>IF(VLOOKUP($CU$3,requiredAttributePTDMap,MATCH($A4,attributeMapFeedProductType,0)+1,FALSE)&gt;0,1,0)</formula>
    </cfRule>
    <cfRule type="expression" dxfId="2867" priority="2848">
      <formula>IF(VLOOKUP($CU$3,optionalAttributePTDMap,MATCH($A4,attributeMapFeedProductType,0)+1,FALSE)&gt;0,1,0)</formula>
    </cfRule>
    <cfRule type="expression" dxfId="2866" priority="2849">
      <formula>IF(VLOOKUP($CU$3,preferredAttributePTDMap,MATCH($A4,attributeMapFeedProductType,0)+1,FALSE)&gt;0,1,0)</formula>
    </cfRule>
    <cfRule type="expression" dxfId="2865" priority="285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8 CV13 CV18:CV1048576">
    <cfRule type="expression" dxfId="2864" priority="2851">
      <formula>IF(LEN(CV4)&gt;0,1,0)</formula>
    </cfRule>
    <cfRule type="expression" dxfId="2863" priority="2852">
      <formula>IF(VLOOKUP($CV$3,requiredAttributePTDMap,MATCH($A4,attributeMapFeedProductType,0)+1,FALSE)&gt;0,1,0)</formula>
    </cfRule>
    <cfRule type="expression" dxfId="2862" priority="2853">
      <formula>IF(VLOOKUP($CV$3,optionalAttributePTDMap,MATCH($A4,attributeMapFeedProductType,0)+1,FALSE)&gt;0,1,0)</formula>
    </cfRule>
    <cfRule type="expression" dxfId="2861" priority="2854">
      <formula>IF(VLOOKUP($CV$3,preferredAttributePTDMap,MATCH($A4,attributeMapFeedProductType,0)+1,FALSE)&gt;0,1,0)</formula>
    </cfRule>
    <cfRule type="expression" dxfId="2860" priority="285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8 CW13 CW18:CW1048576">
    <cfRule type="expression" dxfId="2859" priority="2856">
      <formula>AND(AND((0)),1=1)</formula>
    </cfRule>
    <cfRule type="expression" dxfId="2858" priority="2857">
      <formula>AND(AND(OR(AND(AND(IF(COUNTIF(CONDITION_LIST_0, CY4)&gt;0,FALSE,TRUE)))),A4&lt;&gt;""))</formula>
    </cfRule>
    <cfRule type="expression" dxfId="2857" priority="2858">
      <formula>IF(LEN(CW4)&gt;0,1,0)</formula>
    </cfRule>
    <cfRule type="expression" dxfId="2856" priority="2859">
      <formula>IF(VLOOKUP($CW$3,requiredAttributePTDMap,MATCH($A4,attributeMapFeedProductType,0)+1,FALSE)&gt;0,1,0)</formula>
    </cfRule>
    <cfRule type="expression" dxfId="2855" priority="2860">
      <formula>IF(VLOOKUP($CW$3,optionalAttributePTDMap,MATCH($A4,attributeMapFeedProductType,0)+1,FALSE)&gt;0,1,0)</formula>
    </cfRule>
    <cfRule type="expression" dxfId="2854" priority="2861">
      <formula>IF(VLOOKUP($CW$3,preferredAttributePTDMap,MATCH($A4,attributeMapFeedProductType,0)+1,FALSE)&gt;0,1,0)</formula>
    </cfRule>
    <cfRule type="expression" dxfId="2853" priority="2862">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8 CX13 CX18:CX1048576">
    <cfRule type="expression" dxfId="2852" priority="2863">
      <formula>AND(AND((0)),1=1)</formula>
    </cfRule>
    <cfRule type="expression" dxfId="2851" priority="2864">
      <formula>AND(AND(OR(AND(OR(OR(NOT(DQ4&lt;&gt;"not_applicable"),DQ4="")),OR(OR(NOT(DR4&lt;&gt;"not_applicable"),DR4="")),OR(OR(NOT(DS4&lt;&gt;"not_applicable"),DS4="")),OR(OR(NOT(DT4&lt;&gt;"not_applicable"),DT4="")),OR(OR(NOT(DU4&lt;&gt;"not_applicable"),DU4="")))),A4&lt;&gt;""))</formula>
    </cfRule>
    <cfRule type="expression" dxfId="2850" priority="2865">
      <formula>IF(LEN(CX4)&gt;0,1,0)</formula>
    </cfRule>
    <cfRule type="expression" dxfId="2849" priority="2866">
      <formula>IF(VLOOKUP($CX$3,requiredAttributePTDMap,MATCH($A4,attributeMapFeedProductType,0)+1,FALSE)&gt;0,1,0)</formula>
    </cfRule>
    <cfRule type="expression" dxfId="2848" priority="2867">
      <formula>IF(VLOOKUP($CX$3,optionalAttributePTDMap,MATCH($A4,attributeMapFeedProductType,0)+1,FALSE)&gt;0,1,0)</formula>
    </cfRule>
    <cfRule type="expression" dxfId="2847" priority="2868">
      <formula>IF(VLOOKUP($CX$3,preferredAttributePTDMap,MATCH($A4,attributeMapFeedProductType,0)+1,FALSE)&gt;0,1,0)</formula>
    </cfRule>
    <cfRule type="expression" dxfId="2846" priority="286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8 CY13 CY18:CY1048576">
    <cfRule type="expression" dxfId="2845" priority="2870">
      <formula>AND(AND((0)),1=1)</formula>
    </cfRule>
    <cfRule type="expression" dxfId="2844" priority="2871">
      <formula>AND(AND(OR(AND(OR(OR(NOT(CH4&lt;&gt;"DEFAULT"),CH4="")))),A4&lt;&gt;""))</formula>
    </cfRule>
    <cfRule type="expression" dxfId="2843" priority="2872">
      <formula>IF(LEN(CY4)&gt;0,1,0)</formula>
    </cfRule>
    <cfRule type="expression" dxfId="2842" priority="2873">
      <formula>IF(VLOOKUP($CY$3,requiredAttributePTDMap,MATCH($A4,attributeMapFeedProductType,0)+1,FALSE)&gt;0,1,0)</formula>
    </cfRule>
    <cfRule type="expression" dxfId="2841" priority="2874">
      <formula>IF(VLOOKUP($CY$3,optionalAttributePTDMap,MATCH($A4,attributeMapFeedProductType,0)+1,FALSE)&gt;0,1,0)</formula>
    </cfRule>
    <cfRule type="expression" dxfId="2840" priority="2875">
      <formula>IF(VLOOKUP($CY$3,preferredAttributePTDMap,MATCH($A4,attributeMapFeedProductType,0)+1,FALSE)&gt;0,1,0)</formula>
    </cfRule>
    <cfRule type="expression" dxfId="2839" priority="287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8 CZ13 CZ18:CZ1048576">
    <cfRule type="expression" dxfId="2838" priority="2877">
      <formula>AND(AND((0)),1=1)</formula>
    </cfRule>
    <cfRule type="expression" dxfId="2837" priority="2878">
      <formula>AND(AND(OR(AND(AND(IF(COUNTIF(CONDITION_LIST_1, DL4)&gt;0,FALSE,TRUE)))),A4&lt;&gt;""))</formula>
    </cfRule>
    <cfRule type="expression" dxfId="2836" priority="2879">
      <formula>IF(LEN(CZ4)&gt;0,1,0)</formula>
    </cfRule>
    <cfRule type="expression" dxfId="2835" priority="2880">
      <formula>IF(VLOOKUP($CZ$3,requiredAttributePTDMap,MATCH($A4,attributeMapFeedProductType,0)+1,FALSE)&gt;0,1,0)</formula>
    </cfRule>
    <cfRule type="expression" dxfId="2834" priority="2881">
      <formula>IF(VLOOKUP($CZ$3,optionalAttributePTDMap,MATCH($A4,attributeMapFeedProductType,0)+1,FALSE)&gt;0,1,0)</formula>
    </cfRule>
    <cfRule type="expression" dxfId="2833" priority="2882">
      <formula>IF(VLOOKUP($CZ$3,preferredAttributePTDMap,MATCH($A4,attributeMapFeedProductType,0)+1,FALSE)&gt;0,1,0)</formula>
    </cfRule>
    <cfRule type="expression" dxfId="2832" priority="2883">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8 DA13 DA18:DA1048576">
    <cfRule type="expression" dxfId="2831" priority="2884">
      <formula>AND(AND((0)),1=1)</formula>
    </cfRule>
    <cfRule type="expression" dxfId="2830" priority="2885">
      <formula>AND(AND(OR(AND(AND(IF(COUNTIF(CONDITION_LIST_1, DL4)&gt;0,FALSE,TRUE)))),A4&lt;&gt;""))</formula>
    </cfRule>
    <cfRule type="expression" dxfId="2829" priority="2886">
      <formula>IF(LEN(DA4)&gt;0,1,0)</formula>
    </cfRule>
    <cfRule type="expression" dxfId="2828" priority="2887">
      <formula>IF(VLOOKUP($DA$3,requiredAttributePTDMap,MATCH($A4,attributeMapFeedProductType,0)+1,FALSE)&gt;0,1,0)</formula>
    </cfRule>
    <cfRule type="expression" dxfId="2827" priority="2888">
      <formula>IF(VLOOKUP($DA$3,optionalAttributePTDMap,MATCH($A4,attributeMapFeedProductType,0)+1,FALSE)&gt;0,1,0)</formula>
    </cfRule>
    <cfRule type="expression" dxfId="2826" priority="2889">
      <formula>IF(VLOOKUP($DA$3,preferredAttributePTDMap,MATCH($A4,attributeMapFeedProductType,0)+1,FALSE)&gt;0,1,0)</formula>
    </cfRule>
    <cfRule type="expression" dxfId="2825" priority="289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8 DB13 DB18:DB1048576">
    <cfRule type="expression" dxfId="2824" priority="2891">
      <formula>AND(AND((0)),1=1)</formula>
    </cfRule>
    <cfRule type="expression" dxfId="2823" priority="2892">
      <formula>AND(AND(OR(AND(AND(IF(COUNTIF(CONDITION_LIST_1, DL4)&gt;0,FALSE,TRUE)))),A4&lt;&gt;""))</formula>
    </cfRule>
    <cfRule type="expression" dxfId="2822" priority="2893">
      <formula>IF(LEN(DB4)&gt;0,1,0)</formula>
    </cfRule>
    <cfRule type="expression" dxfId="2821" priority="2894">
      <formula>IF(VLOOKUP($DB$3,requiredAttributePTDMap,MATCH($A4,attributeMapFeedProductType,0)+1,FALSE)&gt;0,1,0)</formula>
    </cfRule>
    <cfRule type="expression" dxfId="2820" priority="2895">
      <formula>IF(VLOOKUP($DB$3,optionalAttributePTDMap,MATCH($A4,attributeMapFeedProductType,0)+1,FALSE)&gt;0,1,0)</formula>
    </cfRule>
    <cfRule type="expression" dxfId="2819" priority="2896">
      <formula>IF(VLOOKUP($DB$3,preferredAttributePTDMap,MATCH($A4,attributeMapFeedProductType,0)+1,FALSE)&gt;0,1,0)</formula>
    </cfRule>
    <cfRule type="expression" dxfId="2818" priority="2897">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8 DC13 DC18:DC1048576">
    <cfRule type="expression" dxfId="2817" priority="2898">
      <formula>AND(AND((0)),1=1)</formula>
    </cfRule>
    <cfRule type="expression" dxfId="2816" priority="2899">
      <formula>AND(AND(OR(AND(OR(OR(NOT(DQ4&lt;&gt;"not_applicable"),DQ4="")),OR(OR(NOT(DR4&lt;&gt;"not_applicable"),DR4="")),OR(OR(NOT(DS4&lt;&gt;"not_applicable"),DS4="")),OR(OR(NOT(DT4&lt;&gt;"not_applicable"),DT4="")),OR(OR(NOT(DU4&lt;&gt;"not_applicable"),DU4="")))),A4&lt;&gt;""))</formula>
    </cfRule>
    <cfRule type="expression" dxfId="2815" priority="2900">
      <formula>IF(LEN(DC4)&gt;0,1,0)</formula>
    </cfRule>
    <cfRule type="expression" dxfId="2814" priority="2901">
      <formula>IF(VLOOKUP($DC$3,requiredAttributePTDMap,MATCH($A4,attributeMapFeedProductType,0)+1,FALSE)&gt;0,1,0)</formula>
    </cfRule>
    <cfRule type="expression" dxfId="2813" priority="2902">
      <formula>IF(VLOOKUP($DC$3,optionalAttributePTDMap,MATCH($A4,attributeMapFeedProductType,0)+1,FALSE)&gt;0,1,0)</formula>
    </cfRule>
    <cfRule type="expression" dxfId="2812" priority="2903">
      <formula>IF(VLOOKUP($DC$3,preferredAttributePTDMap,MATCH($A4,attributeMapFeedProductType,0)+1,FALSE)&gt;0,1,0)</formula>
    </cfRule>
    <cfRule type="expression" dxfId="2811" priority="290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8 DD13 DD18:DD1048576">
    <cfRule type="expression" dxfId="2810" priority="2905">
      <formula>AND(AND((0)),1=1)</formula>
    </cfRule>
    <cfRule type="expression" dxfId="2809" priority="2906">
      <formula>AND(AND(OR(AND(AND(IF(COUNTIF(CONDITION_LIST_1, DL4)&gt;0,FALSE,TRUE)))),A4&lt;&gt;""))</formula>
    </cfRule>
    <cfRule type="expression" dxfId="2808" priority="2907">
      <formula>IF(LEN(DD4)&gt;0,1,0)</formula>
    </cfRule>
    <cfRule type="expression" dxfId="2807" priority="2908">
      <formula>IF(VLOOKUP($DD$3,requiredAttributePTDMap,MATCH($A4,attributeMapFeedProductType,0)+1,FALSE)&gt;0,1,0)</formula>
    </cfRule>
    <cfRule type="expression" dxfId="2806" priority="2909">
      <formula>IF(VLOOKUP($DD$3,optionalAttributePTDMap,MATCH($A4,attributeMapFeedProductType,0)+1,FALSE)&gt;0,1,0)</formula>
    </cfRule>
    <cfRule type="expression" dxfId="2805" priority="2910">
      <formula>IF(VLOOKUP($DD$3,preferredAttributePTDMap,MATCH($A4,attributeMapFeedProductType,0)+1,FALSE)&gt;0,1,0)</formula>
    </cfRule>
    <cfRule type="expression" dxfId="2804" priority="291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8 DE13 DE18:DE1048576">
    <cfRule type="expression" dxfId="2803" priority="2912">
      <formula>AND(AND((0)),1=1)</formula>
    </cfRule>
    <cfRule type="expression" dxfId="2802" priority="2913">
      <formula>AND(AND(OR(AND(AND(IF(COUNTIF(CONDITION_LIST_1, DL4)&gt;0,FALSE,TRUE)))),A4&lt;&gt;""))</formula>
    </cfRule>
    <cfRule type="expression" dxfId="2801" priority="2914">
      <formula>IF(LEN(DE4)&gt;0,1,0)</formula>
    </cfRule>
    <cfRule type="expression" dxfId="2800" priority="2915">
      <formula>IF(VLOOKUP($DE$3,requiredAttributePTDMap,MATCH($A4,attributeMapFeedProductType,0)+1,FALSE)&gt;0,1,0)</formula>
    </cfRule>
    <cfRule type="expression" dxfId="2799" priority="2916">
      <formula>IF(VLOOKUP($DE$3,optionalAttributePTDMap,MATCH($A4,attributeMapFeedProductType,0)+1,FALSE)&gt;0,1,0)</formula>
    </cfRule>
    <cfRule type="expression" dxfId="2798" priority="2917">
      <formula>IF(VLOOKUP($DE$3,preferredAttributePTDMap,MATCH($A4,attributeMapFeedProductType,0)+1,FALSE)&gt;0,1,0)</formula>
    </cfRule>
    <cfRule type="expression" dxfId="2797" priority="2918">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8 DF13 DF18:DF1048576">
    <cfRule type="expression" dxfId="2796" priority="2919">
      <formula>AND(AND((0)),1=1)</formula>
    </cfRule>
    <cfRule type="expression" dxfId="2795" priority="2920">
      <formula>AND(AND(OR(AND(AND(IF(COUNTIF(CONDITION_LIST_1, DL4)&gt;0,FALSE,TRUE)))),A4&lt;&gt;""))</formula>
    </cfRule>
    <cfRule type="expression" dxfId="2794" priority="2921">
      <formula>IF(LEN(DF4)&gt;0,1,0)</formula>
    </cfRule>
    <cfRule type="expression" dxfId="2793" priority="2922">
      <formula>IF(VLOOKUP($DF$3,requiredAttributePTDMap,MATCH($A4,attributeMapFeedProductType,0)+1,FALSE)&gt;0,1,0)</formula>
    </cfRule>
    <cfRule type="expression" dxfId="2792" priority="2923">
      <formula>IF(VLOOKUP($DF$3,optionalAttributePTDMap,MATCH($A4,attributeMapFeedProductType,0)+1,FALSE)&gt;0,1,0)</formula>
    </cfRule>
    <cfRule type="expression" dxfId="2791" priority="2924">
      <formula>IF(VLOOKUP($DF$3,preferredAttributePTDMap,MATCH($A4,attributeMapFeedProductType,0)+1,FALSE)&gt;0,1,0)</formula>
    </cfRule>
    <cfRule type="expression" dxfId="2790" priority="292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8 DG13 DG18:DG1048576">
    <cfRule type="expression" dxfId="2789" priority="2926">
      <formula>AND(AND((0)),1=1)</formula>
    </cfRule>
    <cfRule type="expression" dxfId="2788" priority="2927">
      <formula>AND(AND(OR(AND(AND(IF(COUNTIF(CONDITION_LIST_1, DL4)&gt;0,FALSE,TRUE)))),A4&lt;&gt;""))</formula>
    </cfRule>
    <cfRule type="expression" dxfId="2787" priority="2928">
      <formula>IF(LEN(DG4)&gt;0,1,0)</formula>
    </cfRule>
    <cfRule type="expression" dxfId="2786" priority="2929">
      <formula>IF(VLOOKUP($DG$3,requiredAttributePTDMap,MATCH($A4,attributeMapFeedProductType,0)+1,FALSE)&gt;0,1,0)</formula>
    </cfRule>
    <cfRule type="expression" dxfId="2785" priority="2930">
      <formula>IF(VLOOKUP($DG$3,optionalAttributePTDMap,MATCH($A4,attributeMapFeedProductType,0)+1,FALSE)&gt;0,1,0)</formula>
    </cfRule>
    <cfRule type="expression" dxfId="2784" priority="2931">
      <formula>IF(VLOOKUP($DG$3,preferredAttributePTDMap,MATCH($A4,attributeMapFeedProductType,0)+1,FALSE)&gt;0,1,0)</formula>
    </cfRule>
    <cfRule type="expression" dxfId="2783" priority="2932">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8 DH13 DH18:DH1048576">
    <cfRule type="expression" dxfId="2782" priority="2933">
      <formula>AND(AND((0)),1=1)</formula>
    </cfRule>
    <cfRule type="expression" dxfId="2781" priority="2934">
      <formula>AND(AND(OR(AND(AND(IF(COUNTIF(CONDITION_LIST_1, DL4)&gt;0,FALSE,TRUE)))),A4&lt;&gt;""))</formula>
    </cfRule>
    <cfRule type="expression" dxfId="2780" priority="2935">
      <formula>IF(LEN(DH4)&gt;0,1,0)</formula>
    </cfRule>
    <cfRule type="expression" dxfId="2779" priority="2936">
      <formula>IF(VLOOKUP($DH$3,requiredAttributePTDMap,MATCH($A4,attributeMapFeedProductType,0)+1,FALSE)&gt;0,1,0)</formula>
    </cfRule>
    <cfRule type="expression" dxfId="2778" priority="2937">
      <formula>IF(VLOOKUP($DH$3,optionalAttributePTDMap,MATCH($A4,attributeMapFeedProductType,0)+1,FALSE)&gt;0,1,0)</formula>
    </cfRule>
    <cfRule type="expression" dxfId="2777" priority="2938">
      <formula>IF(VLOOKUP($DH$3,preferredAttributePTDMap,MATCH($A4,attributeMapFeedProductType,0)+1,FALSE)&gt;0,1,0)</formula>
    </cfRule>
    <cfRule type="expression" dxfId="2776" priority="293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8 DI13 DI18:DI1048576">
    <cfRule type="expression" dxfId="2775" priority="2940">
      <formula>AND(AND((0)),1=1)</formula>
    </cfRule>
    <cfRule type="expression" dxfId="2774" priority="2941">
      <formula>AND(AND(OR(AND(AND(IF(COUNTIF(CONDITION_LIST_1, DL4)&gt;0,FALSE,TRUE)))),A4&lt;&gt;""))</formula>
    </cfRule>
    <cfRule type="expression" dxfId="2773" priority="2942">
      <formula>IF(LEN(DI4)&gt;0,1,0)</formula>
    </cfRule>
    <cfRule type="expression" dxfId="2772" priority="2943">
      <formula>IF(VLOOKUP($DI$3,requiredAttributePTDMap,MATCH($A4,attributeMapFeedProductType,0)+1,FALSE)&gt;0,1,0)</formula>
    </cfRule>
    <cfRule type="expression" dxfId="2771" priority="2944">
      <formula>IF(VLOOKUP($DI$3,optionalAttributePTDMap,MATCH($A4,attributeMapFeedProductType,0)+1,FALSE)&gt;0,1,0)</formula>
    </cfRule>
    <cfRule type="expression" dxfId="2770" priority="2945">
      <formula>IF(VLOOKUP($DI$3,preferredAttributePTDMap,MATCH($A4,attributeMapFeedProductType,0)+1,FALSE)&gt;0,1,0)</formula>
    </cfRule>
    <cfRule type="expression" dxfId="2769" priority="294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8 DJ13 DJ18:DJ1048576">
    <cfRule type="expression" dxfId="2768" priority="2947">
      <formula>AND(AND((0)),1=1)</formula>
    </cfRule>
    <cfRule type="expression" dxfId="2767" priority="2948">
      <formula>AND(AND(OR(AND(AND(IF(COUNTIF(CONDITION_LIST_1, DL4)&gt;0,FALSE,TRUE)))),A4&lt;&gt;""))</formula>
    </cfRule>
    <cfRule type="expression" dxfId="2766" priority="2949">
      <formula>IF(LEN(DJ4)&gt;0,1,0)</formula>
    </cfRule>
    <cfRule type="expression" dxfId="2765" priority="2950">
      <formula>IF(VLOOKUP($DJ$3,requiredAttributePTDMap,MATCH($A4,attributeMapFeedProductType,0)+1,FALSE)&gt;0,1,0)</formula>
    </cfRule>
    <cfRule type="expression" dxfId="2764" priority="2951">
      <formula>IF(VLOOKUP($DJ$3,optionalAttributePTDMap,MATCH($A4,attributeMapFeedProductType,0)+1,FALSE)&gt;0,1,0)</formula>
    </cfRule>
    <cfRule type="expression" dxfId="2763" priority="2952">
      <formula>IF(VLOOKUP($DJ$3,preferredAttributePTDMap,MATCH($A4,attributeMapFeedProductType,0)+1,FALSE)&gt;0,1,0)</formula>
    </cfRule>
    <cfRule type="expression" dxfId="2762" priority="2953">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8 DK13 DK18:DK1048576">
    <cfRule type="expression" dxfId="2761" priority="2954">
      <formula>AND(AND((0)),1=1)</formula>
    </cfRule>
    <cfRule type="expression" dxfId="2760" priority="2955">
      <formula>AND(AND(OR(AND(AND(IF(COUNTIF(CONDITION_LIST_1, DL4)&gt;0,FALSE,TRUE)))),A4&lt;&gt;""))</formula>
    </cfRule>
    <cfRule type="expression" dxfId="2759" priority="2956">
      <formula>IF(LEN(DK4)&gt;0,1,0)</formula>
    </cfRule>
    <cfRule type="expression" dxfId="2758" priority="2957">
      <formula>IF(VLOOKUP($DK$3,requiredAttributePTDMap,MATCH($A4,attributeMapFeedProductType,0)+1,FALSE)&gt;0,1,0)</formula>
    </cfRule>
    <cfRule type="expression" dxfId="2757" priority="2958">
      <formula>IF(VLOOKUP($DK$3,optionalAttributePTDMap,MATCH($A4,attributeMapFeedProductType,0)+1,FALSE)&gt;0,1,0)</formula>
    </cfRule>
    <cfRule type="expression" dxfId="2756" priority="2959">
      <formula>IF(VLOOKUP($DK$3,preferredAttributePTDMap,MATCH($A4,attributeMapFeedProductType,0)+1,FALSE)&gt;0,1,0)</formula>
    </cfRule>
    <cfRule type="expression" dxfId="2755" priority="296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8 DL13 DL18:DL1048576">
    <cfRule type="expression" dxfId="2754" priority="2961">
      <formula>AND(AND((0)),1=1)</formula>
    </cfRule>
    <cfRule type="expression" dxfId="2753" priority="2962">
      <formula>AND(AND(OR(AND(AND(IF(COUNTIF(CONDITION_LIST_0, CW4)&gt;0,FALSE,TRUE)))),A4&lt;&gt;""))</formula>
    </cfRule>
    <cfRule type="expression" dxfId="2752" priority="2963">
      <formula>IF(LEN(DL4)&gt;0,1,0)</formula>
    </cfRule>
    <cfRule type="expression" dxfId="2751" priority="2964">
      <formula>IF(VLOOKUP($DL$3,requiredAttributePTDMap,MATCH($A4,attributeMapFeedProductType,0)+1,FALSE)&gt;0,1,0)</formula>
    </cfRule>
    <cfRule type="expression" dxfId="2750" priority="2965">
      <formula>IF(VLOOKUP($DL$3,optionalAttributePTDMap,MATCH($A4,attributeMapFeedProductType,0)+1,FALSE)&gt;0,1,0)</formula>
    </cfRule>
    <cfRule type="expression" dxfId="2749" priority="2966">
      <formula>IF(VLOOKUP($DL$3,preferredAttributePTDMap,MATCH($A4,attributeMapFeedProductType,0)+1,FALSE)&gt;0,1,0)</formula>
    </cfRule>
    <cfRule type="expression" dxfId="2748" priority="2967">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8 DM13 DM18:DM1048576">
    <cfRule type="expression" dxfId="2747" priority="2968">
      <formula>AND(AND((0)),1=1)</formula>
    </cfRule>
    <cfRule type="expression" dxfId="2746" priority="2969">
      <formula>AND(AND(OR(AND(AND(IF(COUNTIF(CONDITION_LIST_1, DL4)&gt;0,FALSE,TRUE)))),A4&lt;&gt;""))</formula>
    </cfRule>
    <cfRule type="expression" dxfId="2745" priority="2970">
      <formula>IF(LEN(DM4)&gt;0,1,0)</formula>
    </cfRule>
    <cfRule type="expression" dxfId="2744" priority="2971">
      <formula>IF(VLOOKUP($DM$3,requiredAttributePTDMap,MATCH($A4,attributeMapFeedProductType,0)+1,FALSE)&gt;0,1,0)</formula>
    </cfRule>
    <cfRule type="expression" dxfId="2743" priority="2972">
      <formula>IF(VLOOKUP($DM$3,optionalAttributePTDMap,MATCH($A4,attributeMapFeedProductType,0)+1,FALSE)&gt;0,1,0)</formula>
    </cfRule>
    <cfRule type="expression" dxfId="2742" priority="2973">
      <formula>IF(VLOOKUP($DM$3,preferredAttributePTDMap,MATCH($A4,attributeMapFeedProductType,0)+1,FALSE)&gt;0,1,0)</formula>
    </cfRule>
    <cfRule type="expression" dxfId="2741" priority="297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8 DN13 DN18:DN1048576">
    <cfRule type="expression" dxfId="2740" priority="2975">
      <formula>AND(AND((0)),1=1)</formula>
    </cfRule>
    <cfRule type="expression" dxfId="2739" priority="2976">
      <formula>AND(AND(OR(AND(AND(IF(COUNTIF(CONDITION_LIST_1, DL4)&gt;0,FALSE,TRUE)))),A4&lt;&gt;""))</formula>
    </cfRule>
    <cfRule type="expression" dxfId="2738" priority="2977">
      <formula>IF(LEN(DN4)&gt;0,1,0)</formula>
    </cfRule>
    <cfRule type="expression" dxfId="2737" priority="2978">
      <formula>IF(VLOOKUP($DN$3,requiredAttributePTDMap,MATCH($A4,attributeMapFeedProductType,0)+1,FALSE)&gt;0,1,0)</formula>
    </cfRule>
    <cfRule type="expression" dxfId="2736" priority="2979">
      <formula>IF(VLOOKUP($DN$3,optionalAttributePTDMap,MATCH($A4,attributeMapFeedProductType,0)+1,FALSE)&gt;0,1,0)</formula>
    </cfRule>
    <cfRule type="expression" dxfId="2735" priority="2980">
      <formula>IF(VLOOKUP($DN$3,preferredAttributePTDMap,MATCH($A4,attributeMapFeedProductType,0)+1,FALSE)&gt;0,1,0)</formula>
    </cfRule>
    <cfRule type="expression" dxfId="2734" priority="298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8 DO13 DO18:DO1048576">
    <cfRule type="expression" dxfId="2733" priority="2982">
      <formula>AND(AND((0)),1=1)</formula>
    </cfRule>
    <cfRule type="expression" dxfId="2732" priority="2983">
      <formula>AND(AND(OR(AND(AND(IF(COUNTIF(CONDITION_LIST_1, DL4)&gt;0,FALSE,TRUE)))),A4&lt;&gt;""))</formula>
    </cfRule>
    <cfRule type="expression" dxfId="2731" priority="2984">
      <formula>IF(LEN(DO4)&gt;0,1,0)</formula>
    </cfRule>
    <cfRule type="expression" dxfId="2730" priority="2985">
      <formula>IF(VLOOKUP($DO$3,requiredAttributePTDMap,MATCH($A4,attributeMapFeedProductType,0)+1,FALSE)&gt;0,1,0)</formula>
    </cfRule>
    <cfRule type="expression" dxfId="2729" priority="2986">
      <formula>IF(VLOOKUP($DO$3,optionalAttributePTDMap,MATCH($A4,attributeMapFeedProductType,0)+1,FALSE)&gt;0,1,0)</formula>
    </cfRule>
    <cfRule type="expression" dxfId="2728" priority="2987">
      <formula>IF(VLOOKUP($DO$3,preferredAttributePTDMap,MATCH($A4,attributeMapFeedProductType,0)+1,FALSE)&gt;0,1,0)</formula>
    </cfRule>
    <cfRule type="expression" dxfId="2727" priority="298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8 DP13 DP18:DP1048576">
    <cfRule type="expression" dxfId="2726" priority="2989">
      <formula>AND(AND((0)),1=1)</formula>
    </cfRule>
    <cfRule type="expression" dxfId="2725" priority="2990">
      <formula>AND(AND(OR(AND(AND(IF(COUNTIF(CONDITION_LIST_1, DL4)&gt;0,FALSE,TRUE)))),A4&lt;&gt;""))</formula>
    </cfRule>
    <cfRule type="expression" dxfId="2724" priority="2991">
      <formula>IF(LEN(DP4)&gt;0,1,0)</formula>
    </cfRule>
    <cfRule type="expression" dxfId="2723" priority="2992">
      <formula>IF(VLOOKUP($DP$3,requiredAttributePTDMap,MATCH($A4,attributeMapFeedProductType,0)+1,FALSE)&gt;0,1,0)</formula>
    </cfRule>
    <cfRule type="expression" dxfId="2722" priority="2993">
      <formula>IF(VLOOKUP($DP$3,optionalAttributePTDMap,MATCH($A4,attributeMapFeedProductType,0)+1,FALSE)&gt;0,1,0)</formula>
    </cfRule>
    <cfRule type="expression" dxfId="2721" priority="2994">
      <formula>IF(VLOOKUP($DP$3,preferredAttributePTDMap,MATCH($A4,attributeMapFeedProductType,0)+1,FALSE)&gt;0,1,0)</formula>
    </cfRule>
    <cfRule type="expression" dxfId="2720" priority="299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8 DQ13 DQ18:DQ1048576">
    <cfRule type="expression" dxfId="2719" priority="2996">
      <formula>AND(AND((0)),1=1)</formula>
    </cfRule>
    <cfRule type="expression" dxfId="2718" priority="2997">
      <formula>AND(AND(OR(AND(OR(OR(NOT(CH4&lt;&gt;"DEFAULT"),CH4="")))),A4&lt;&gt;""))</formula>
    </cfRule>
    <cfRule type="expression" dxfId="2717" priority="2998">
      <formula>IF(LEN(DQ4)&gt;0,1,0)</formula>
    </cfRule>
    <cfRule type="expression" dxfId="2716" priority="2999">
      <formula>IF(VLOOKUP($DQ$3,requiredAttributePTDMap,MATCH($A4,attributeMapFeedProductType,0)+1,FALSE)&gt;0,1,0)</formula>
    </cfRule>
    <cfRule type="expression" dxfId="2715" priority="3000">
      <formula>IF(VLOOKUP($DQ$3,optionalAttributePTDMap,MATCH($A4,attributeMapFeedProductType,0)+1,FALSE)&gt;0,1,0)</formula>
    </cfRule>
    <cfRule type="expression" dxfId="2714" priority="3001">
      <formula>IF(VLOOKUP($DQ$3,preferredAttributePTDMap,MATCH($A4,attributeMapFeedProductType,0)+1,FALSE)&gt;0,1,0)</formula>
    </cfRule>
    <cfRule type="expression" dxfId="2713" priority="3002">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8 DR13 DR18:DR1048576">
    <cfRule type="expression" dxfId="2712" priority="3003">
      <formula>AND(AND((0)),1=1)</formula>
    </cfRule>
    <cfRule type="expression" dxfId="2711" priority="3004">
      <formula>AND(AND(OR(AND(OR(OR(NOT(CH4&lt;&gt;"DEFAULT"),CH4="")))),A4&lt;&gt;""))</formula>
    </cfRule>
    <cfRule type="expression" dxfId="2710" priority="3005">
      <formula>IF(LEN(DR4)&gt;0,1,0)</formula>
    </cfRule>
    <cfRule type="expression" dxfId="2709" priority="3006">
      <formula>IF(VLOOKUP($DR$3,requiredAttributePTDMap,MATCH($A4,attributeMapFeedProductType,0)+1,FALSE)&gt;0,1,0)</formula>
    </cfRule>
    <cfRule type="expression" dxfId="2708" priority="3007">
      <formula>IF(VLOOKUP($DR$3,optionalAttributePTDMap,MATCH($A4,attributeMapFeedProductType,0)+1,FALSE)&gt;0,1,0)</formula>
    </cfRule>
    <cfRule type="expression" dxfId="2707" priority="3008">
      <formula>IF(VLOOKUP($DR$3,preferredAttributePTDMap,MATCH($A4,attributeMapFeedProductType,0)+1,FALSE)&gt;0,1,0)</formula>
    </cfRule>
    <cfRule type="expression" dxfId="2706" priority="3009">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8 DS13 DS18:DS1048576">
    <cfRule type="expression" dxfId="2705" priority="3010">
      <formula>AND(AND((0)),1=1)</formula>
    </cfRule>
    <cfRule type="expression" dxfId="2704" priority="3011">
      <formula>AND(AND(OR(AND(OR(OR(NOT(CH4&lt;&gt;"DEFAULT"),CH4="")))),A4&lt;&gt;""))</formula>
    </cfRule>
    <cfRule type="expression" dxfId="2703" priority="3012">
      <formula>IF(LEN(DS4)&gt;0,1,0)</formula>
    </cfRule>
    <cfRule type="expression" dxfId="2702" priority="3013">
      <formula>IF(VLOOKUP($DS$3,requiredAttributePTDMap,MATCH($A4,attributeMapFeedProductType,0)+1,FALSE)&gt;0,1,0)</formula>
    </cfRule>
    <cfRule type="expression" dxfId="2701" priority="3014">
      <formula>IF(VLOOKUP($DS$3,optionalAttributePTDMap,MATCH($A4,attributeMapFeedProductType,0)+1,FALSE)&gt;0,1,0)</formula>
    </cfRule>
    <cfRule type="expression" dxfId="2700" priority="3015">
      <formula>IF(VLOOKUP($DS$3,preferredAttributePTDMap,MATCH($A4,attributeMapFeedProductType,0)+1,FALSE)&gt;0,1,0)</formula>
    </cfRule>
    <cfRule type="expression" dxfId="2699" priority="30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8 DT13 DT18:DT1048576">
    <cfRule type="expression" dxfId="2698" priority="3017">
      <formula>AND(AND((0)),1=1)</formula>
    </cfRule>
    <cfRule type="expression" dxfId="2697" priority="3018">
      <formula>AND(AND(OR(AND(OR(OR(NOT(CH4&lt;&gt;"DEFAULT"),CH4="")))),A4&lt;&gt;""))</formula>
    </cfRule>
    <cfRule type="expression" dxfId="2696" priority="3019">
      <formula>IF(LEN(DT4)&gt;0,1,0)</formula>
    </cfRule>
    <cfRule type="expression" dxfId="2695" priority="3020">
      <formula>IF(VLOOKUP($DT$3,requiredAttributePTDMap,MATCH($A4,attributeMapFeedProductType,0)+1,FALSE)&gt;0,1,0)</formula>
    </cfRule>
    <cfRule type="expression" dxfId="2694" priority="3021">
      <formula>IF(VLOOKUP($DT$3,optionalAttributePTDMap,MATCH($A4,attributeMapFeedProductType,0)+1,FALSE)&gt;0,1,0)</formula>
    </cfRule>
    <cfRule type="expression" dxfId="2693" priority="3022">
      <formula>IF(VLOOKUP($DT$3,preferredAttributePTDMap,MATCH($A4,attributeMapFeedProductType,0)+1,FALSE)&gt;0,1,0)</formula>
    </cfRule>
    <cfRule type="expression" dxfId="2692" priority="302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8 DU13 DU18:DU1048576">
    <cfRule type="expression" dxfId="2691" priority="3024">
      <formula>AND(AND((0)),1=1)</formula>
    </cfRule>
    <cfRule type="expression" dxfId="2690" priority="3025">
      <formula>AND(AND(OR(AND(OR(OR(NOT(CH4&lt;&gt;"DEFAULT"),CH4="")))),A4&lt;&gt;""))</formula>
    </cfRule>
    <cfRule type="expression" dxfId="2689" priority="3026">
      <formula>IF(LEN(DU4)&gt;0,1,0)</formula>
    </cfRule>
    <cfRule type="expression" dxfId="2688" priority="3027">
      <formula>IF(VLOOKUP($DU$3,requiredAttributePTDMap,MATCH($A4,attributeMapFeedProductType,0)+1,FALSE)&gt;0,1,0)</formula>
    </cfRule>
    <cfRule type="expression" dxfId="2687" priority="3028">
      <formula>IF(VLOOKUP($DU$3,optionalAttributePTDMap,MATCH($A4,attributeMapFeedProductType,0)+1,FALSE)&gt;0,1,0)</formula>
    </cfRule>
    <cfRule type="expression" dxfId="2686" priority="3029">
      <formula>IF(VLOOKUP($DU$3,preferredAttributePTDMap,MATCH($A4,attributeMapFeedProductType,0)+1,FALSE)&gt;0,1,0)</formula>
    </cfRule>
    <cfRule type="expression" dxfId="2685" priority="303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8 DV13 DV18:DV1048576">
    <cfRule type="expression" dxfId="2684" priority="3031">
      <formula>AND(AND((0)),1=1)</formula>
    </cfRule>
    <cfRule type="expression" dxfId="2683" priority="3032">
      <formula>AND(AND(OR(AND(AND(IF(COUNTIF(CONDITION_LIST_2, DQ4)&gt;0,FALSE,TRUE)),AND(IF(COUNTIF(CONDITION_LIST_2, DR4)&gt;0,FALSE,TRUE)),AND(IF(COUNTIF(CONDITION_LIST_2, DS4)&gt;0,FALSE,TRUE)),AND(IF(COUNTIF(CONDITION_LIST_2, DT4)&gt;0,FALSE,TRUE)),AND(IF(COUNTIF(CONDITION_LIST_2, DU4)&gt;0,FALSE,TRUE)))),A4&lt;&gt;""))</formula>
    </cfRule>
    <cfRule type="expression" dxfId="2682" priority="3033">
      <formula>IF(LEN(DV4)&gt;0,1,0)</formula>
    </cfRule>
    <cfRule type="expression" dxfId="2681" priority="3034">
      <formula>IF(VLOOKUP($DV$3,requiredAttributePTDMap,MATCH($A4,attributeMapFeedProductType,0)+1,FALSE)&gt;0,1,0)</formula>
    </cfRule>
    <cfRule type="expression" dxfId="2680" priority="3035">
      <formula>IF(VLOOKUP($DV$3,optionalAttributePTDMap,MATCH($A4,attributeMapFeedProductType,0)+1,FALSE)&gt;0,1,0)</formula>
    </cfRule>
    <cfRule type="expression" dxfId="2679" priority="3036">
      <formula>IF(VLOOKUP($DV$3,preferredAttributePTDMap,MATCH($A4,attributeMapFeedProductType,0)+1,FALSE)&gt;0,1,0)</formula>
    </cfRule>
    <cfRule type="expression" dxfId="2678" priority="3037">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8 DW13 DW18:DW1048576">
    <cfRule type="expression" dxfId="2677" priority="3038">
      <formula>AND(AND((0)),1=1)</formula>
    </cfRule>
    <cfRule type="expression" dxfId="2676" priority="3039">
      <formula>AND(AND(OR(AND(OR(OR(NOT(DQ4&lt;&gt;"GHS"),DQ4="")),OR(OR(NOT(DR4&lt;&gt;"GHS"),DR4="")),OR(OR(NOT(DS4&lt;&gt;"GHS"),DS4="")),OR(OR(NOT(DT4&lt;&gt;"GHS"),DT4="")),OR(OR(NOT(DU4&lt;&gt;"GHS"),DU4="")))),A4&lt;&gt;""))</formula>
    </cfRule>
    <cfRule type="expression" dxfId="2675" priority="3040">
      <formula>IF(LEN(DW4)&gt;0,1,0)</formula>
    </cfRule>
    <cfRule type="expression" dxfId="2674" priority="3041">
      <formula>IF(VLOOKUP($DW$3,requiredAttributePTDMap,MATCH($A4,attributeMapFeedProductType,0)+1,FALSE)&gt;0,1,0)</formula>
    </cfRule>
    <cfRule type="expression" dxfId="2673" priority="3042">
      <formula>IF(VLOOKUP($DW$3,optionalAttributePTDMap,MATCH($A4,attributeMapFeedProductType,0)+1,FALSE)&gt;0,1,0)</formula>
    </cfRule>
    <cfRule type="expression" dxfId="2672" priority="3043">
      <formula>IF(VLOOKUP($DW$3,preferredAttributePTDMap,MATCH($A4,attributeMapFeedProductType,0)+1,FALSE)&gt;0,1,0)</formula>
    </cfRule>
    <cfRule type="expression" dxfId="2671" priority="304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8 DX13 DX18:DX1048576">
    <cfRule type="expression" dxfId="2670" priority="3045">
      <formula>IF(LEN(DX4)&gt;0,1,0)</formula>
    </cfRule>
    <cfRule type="expression" dxfId="2669" priority="3046">
      <formula>IF(VLOOKUP($DX$3,requiredAttributePTDMap,MATCH($A4,attributeMapFeedProductType,0)+1,FALSE)&gt;0,1,0)</formula>
    </cfRule>
    <cfRule type="expression" dxfId="2668" priority="3047">
      <formula>IF(VLOOKUP($DX$3,optionalAttributePTDMap,MATCH($A4,attributeMapFeedProductType,0)+1,FALSE)&gt;0,1,0)</formula>
    </cfRule>
    <cfRule type="expression" dxfId="2667" priority="3048">
      <formula>IF(VLOOKUP($DX$3,preferredAttributePTDMap,MATCH($A4,attributeMapFeedProductType,0)+1,FALSE)&gt;0,1,0)</formula>
    </cfRule>
    <cfRule type="expression" dxfId="2666" priority="3049">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8 DY13 DY18:DY1048576">
    <cfRule type="expression" dxfId="2665" priority="3050">
      <formula>IF(LEN(DY4)&gt;0,1,0)</formula>
    </cfRule>
    <cfRule type="expression" dxfId="2664" priority="3051">
      <formula>IF(VLOOKUP($DY$3,requiredAttributePTDMap,MATCH($A4,attributeMapFeedProductType,0)+1,FALSE)&gt;0,1,0)</formula>
    </cfRule>
    <cfRule type="expression" dxfId="2663" priority="3052">
      <formula>IF(VLOOKUP($DY$3,optionalAttributePTDMap,MATCH($A4,attributeMapFeedProductType,0)+1,FALSE)&gt;0,1,0)</formula>
    </cfRule>
    <cfRule type="expression" dxfId="2662" priority="3053">
      <formula>IF(VLOOKUP($DY$3,preferredAttributePTDMap,MATCH($A4,attributeMapFeedProductType,0)+1,FALSE)&gt;0,1,0)</formula>
    </cfRule>
    <cfRule type="expression" dxfId="2661" priority="305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8 DZ13 DZ18:DZ1048576">
    <cfRule type="expression" dxfId="2660" priority="3055">
      <formula>IF(LEN(DZ4)&gt;0,1,0)</formula>
    </cfRule>
    <cfRule type="expression" dxfId="2659" priority="3056">
      <formula>IF(VLOOKUP($DZ$3,requiredAttributePTDMap,MATCH($A4,attributeMapFeedProductType,0)+1,FALSE)&gt;0,1,0)</formula>
    </cfRule>
    <cfRule type="expression" dxfId="2658" priority="3057">
      <formula>IF(VLOOKUP($DZ$3,optionalAttributePTDMap,MATCH($A4,attributeMapFeedProductType,0)+1,FALSE)&gt;0,1,0)</formula>
    </cfRule>
    <cfRule type="expression" dxfId="2657" priority="3058">
      <formula>IF(VLOOKUP($DZ$3,preferredAttributePTDMap,MATCH($A4,attributeMapFeedProductType,0)+1,FALSE)&gt;0,1,0)</formula>
    </cfRule>
    <cfRule type="expression" dxfId="2656" priority="3059">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8 EA13 EA18:EA1048576">
    <cfRule type="expression" dxfId="2655" priority="3060">
      <formula>IF(LEN(EA4)&gt;0,1,0)</formula>
    </cfRule>
    <cfRule type="expression" dxfId="2654" priority="3061">
      <formula>IF(VLOOKUP($EA$3,requiredAttributePTDMap,MATCH($A4,attributeMapFeedProductType,0)+1,FALSE)&gt;0,1,0)</formula>
    </cfRule>
    <cfRule type="expression" dxfId="2653" priority="3062">
      <formula>IF(VLOOKUP($EA$3,optionalAttributePTDMap,MATCH($A4,attributeMapFeedProductType,0)+1,FALSE)&gt;0,1,0)</formula>
    </cfRule>
    <cfRule type="expression" dxfId="2652" priority="3063">
      <formula>IF(VLOOKUP($EA$3,preferredAttributePTDMap,MATCH($A4,attributeMapFeedProductType,0)+1,FALSE)&gt;0,1,0)</formula>
    </cfRule>
    <cfRule type="expression" dxfId="2651" priority="3064">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8 EB13 EB18:EB1048576">
    <cfRule type="expression" dxfId="2650" priority="3065">
      <formula>IF(LEN(EB4)&gt;0,1,0)</formula>
    </cfRule>
    <cfRule type="expression" dxfId="2649" priority="3066">
      <formula>IF(VLOOKUP($EB$3,requiredAttributePTDMap,MATCH($A4,attributeMapFeedProductType,0)+1,FALSE)&gt;0,1,0)</formula>
    </cfRule>
    <cfRule type="expression" dxfId="2648" priority="3067">
      <formula>IF(VLOOKUP($EB$3,optionalAttributePTDMap,MATCH($A4,attributeMapFeedProductType,0)+1,FALSE)&gt;0,1,0)</formula>
    </cfRule>
    <cfRule type="expression" dxfId="2647" priority="3068">
      <formula>IF(VLOOKUP($EB$3,preferredAttributePTDMap,MATCH($A4,attributeMapFeedProductType,0)+1,FALSE)&gt;0,1,0)</formula>
    </cfRule>
    <cfRule type="expression" dxfId="2646" priority="3069">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8 EC13 EC18:EC1048576">
    <cfRule type="expression" dxfId="2645" priority="3070">
      <formula>IF(LEN(EC4)&gt;0,1,0)</formula>
    </cfRule>
    <cfRule type="expression" dxfId="2644" priority="3071">
      <formula>IF(VLOOKUP($EC$3,requiredAttributePTDMap,MATCH($A4,attributeMapFeedProductType,0)+1,FALSE)&gt;0,1,0)</formula>
    </cfRule>
    <cfRule type="expression" dxfId="2643" priority="3072">
      <formula>IF(VLOOKUP($EC$3,optionalAttributePTDMap,MATCH($A4,attributeMapFeedProductType,0)+1,FALSE)&gt;0,1,0)</formula>
    </cfRule>
    <cfRule type="expression" dxfId="2642" priority="3073">
      <formula>IF(VLOOKUP($EC$3,preferredAttributePTDMap,MATCH($A4,attributeMapFeedProductType,0)+1,FALSE)&gt;0,1,0)</formula>
    </cfRule>
    <cfRule type="expression" dxfId="2641" priority="3074">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8 ED13 ED18:ED1048576">
    <cfRule type="expression" dxfId="2640" priority="3075">
      <formula>IF(LEN(ED4)&gt;0,1,0)</formula>
    </cfRule>
    <cfRule type="expression" dxfId="2639" priority="3076">
      <formula>IF(VLOOKUP($ED$3,requiredAttributePTDMap,MATCH($A4,attributeMapFeedProductType,0)+1,FALSE)&gt;0,1,0)</formula>
    </cfRule>
    <cfRule type="expression" dxfId="2638" priority="3077">
      <formula>IF(VLOOKUP($ED$3,optionalAttributePTDMap,MATCH($A4,attributeMapFeedProductType,0)+1,FALSE)&gt;0,1,0)</formula>
    </cfRule>
    <cfRule type="expression" dxfId="2637" priority="3078">
      <formula>IF(VLOOKUP($ED$3,preferredAttributePTDMap,MATCH($A4,attributeMapFeedProductType,0)+1,FALSE)&gt;0,1,0)</formula>
    </cfRule>
    <cfRule type="expression" dxfId="2636" priority="3079">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8 EE13 EE18:EE1048576">
    <cfRule type="expression" dxfId="2635" priority="3080">
      <formula>AND(AND((0)),1=1)</formula>
    </cfRule>
    <cfRule type="expression" dxfId="2634" priority="3081">
      <formula>AND(AND(OR(AND(AND(IF(COUNTIF(CONDITION_LIST_3, DQ4)&gt;0,FALSE,TRUE)),AND(IF(COUNTIF(CONDITION_LIST_3, DR4)&gt;0,FALSE,TRUE)),AND(IF(COUNTIF(CONDITION_LIST_3, DS4)&gt;0,FALSE,TRUE)),AND(IF(COUNTIF(CONDITION_LIST_3, DT4)&gt;0,FALSE,TRUE)),AND(IF(COUNTIF(CONDITION_LIST_3, DU4)&gt;0,FALSE,TRUE)))),A4&lt;&gt;""))</formula>
    </cfRule>
    <cfRule type="expression" dxfId="2633" priority="3082">
      <formula>IF(LEN(EE4)&gt;0,1,0)</formula>
    </cfRule>
    <cfRule type="expression" dxfId="2632" priority="3083">
      <formula>IF(VLOOKUP($EE$3,requiredAttributePTDMap,MATCH($A4,attributeMapFeedProductType,0)+1,FALSE)&gt;0,1,0)</formula>
    </cfRule>
    <cfRule type="expression" dxfId="2631" priority="3084">
      <formula>IF(VLOOKUP($EE$3,optionalAttributePTDMap,MATCH($A4,attributeMapFeedProductType,0)+1,FALSE)&gt;0,1,0)</formula>
    </cfRule>
    <cfRule type="expression" dxfId="2630" priority="3085">
      <formula>IF(VLOOKUP($EE$3,preferredAttributePTDMap,MATCH($A4,attributeMapFeedProductType,0)+1,FALSE)&gt;0,1,0)</formula>
    </cfRule>
    <cfRule type="expression" dxfId="2629" priority="308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8 EF13 EF18:EF1048576">
    <cfRule type="expression" dxfId="2628" priority="3087">
      <formula>AND(AND((0)),1=1)</formula>
    </cfRule>
    <cfRule type="expression" dxfId="2627" priority="3088">
      <formula>AND(AND(OR(AND(AND(IF(COUNTIF(CONDITION_LIST_3, DQ4)&gt;0,FALSE,TRUE)),AND(IF(COUNTIF(CONDITION_LIST_3, DR4)&gt;0,FALSE,TRUE)),AND(IF(COUNTIF(CONDITION_LIST_3, DS4)&gt;0,FALSE,TRUE)),AND(IF(COUNTIF(CONDITION_LIST_3, DT4)&gt;0,FALSE,TRUE)),AND(IF(COUNTIF(CONDITION_LIST_3, DU4)&gt;0,FALSE,TRUE)))),A4&lt;&gt;""))</formula>
    </cfRule>
    <cfRule type="expression" dxfId="2626" priority="3089">
      <formula>IF(LEN(EF4)&gt;0,1,0)</formula>
    </cfRule>
    <cfRule type="expression" dxfId="2625" priority="3090">
      <formula>IF(VLOOKUP($EF$3,requiredAttributePTDMap,MATCH($A4,attributeMapFeedProductType,0)+1,FALSE)&gt;0,1,0)</formula>
    </cfRule>
    <cfRule type="expression" dxfId="2624" priority="3091">
      <formula>IF(VLOOKUP($EF$3,optionalAttributePTDMap,MATCH($A4,attributeMapFeedProductType,0)+1,FALSE)&gt;0,1,0)</formula>
    </cfRule>
    <cfRule type="expression" dxfId="2623" priority="3092">
      <formula>IF(VLOOKUP($EF$3,preferredAttributePTDMap,MATCH($A4,attributeMapFeedProductType,0)+1,FALSE)&gt;0,1,0)</formula>
    </cfRule>
    <cfRule type="expression" dxfId="2622" priority="309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8 EG13 EG18:EG1048576">
    <cfRule type="expression" dxfId="2621" priority="3094">
      <formula>AND(AND((0)),1=1)</formula>
    </cfRule>
    <cfRule type="expression" dxfId="2620" priority="3095">
      <formula>AND(AND(OR(AND(AND(IF(COUNTIF(CONDITION_LIST_3, DQ4)&gt;0,FALSE,TRUE)),AND(IF(COUNTIF(CONDITION_LIST_3, DR4)&gt;0,FALSE,TRUE)),AND(IF(COUNTIF(CONDITION_LIST_3, DS4)&gt;0,FALSE,TRUE)),AND(IF(COUNTIF(CONDITION_LIST_3, DT4)&gt;0,FALSE,TRUE)),AND(IF(COUNTIF(CONDITION_LIST_3, DU4)&gt;0,FALSE,TRUE)))),A4&lt;&gt;""))</formula>
    </cfRule>
    <cfRule type="expression" dxfId="2619" priority="3096">
      <formula>IF(LEN(EG4)&gt;0,1,0)</formula>
    </cfRule>
    <cfRule type="expression" dxfId="2618" priority="3097">
      <formula>IF(VLOOKUP($EG$3,requiredAttributePTDMap,MATCH($A4,attributeMapFeedProductType,0)+1,FALSE)&gt;0,1,0)</formula>
    </cfRule>
    <cfRule type="expression" dxfId="2617" priority="3098">
      <formula>IF(VLOOKUP($EG$3,optionalAttributePTDMap,MATCH($A4,attributeMapFeedProductType,0)+1,FALSE)&gt;0,1,0)</formula>
    </cfRule>
    <cfRule type="expression" dxfId="2616" priority="3099">
      <formula>IF(VLOOKUP($EG$3,preferredAttributePTDMap,MATCH($A4,attributeMapFeedProductType,0)+1,FALSE)&gt;0,1,0)</formula>
    </cfRule>
    <cfRule type="expression" dxfId="2615" priority="310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8 EH13 EH18:EH1048576">
    <cfRule type="expression" dxfId="2614" priority="3101">
      <formula>IF(LEN(EH4)&gt;0,1,0)</formula>
    </cfRule>
    <cfRule type="expression" dxfId="2613" priority="3102">
      <formula>IF(VLOOKUP($EH$3,requiredAttributePTDMap,MATCH($A4,attributeMapFeedProductType,0)+1,FALSE)&gt;0,1,0)</formula>
    </cfRule>
    <cfRule type="expression" dxfId="2612" priority="3103">
      <formula>IF(VLOOKUP($EH$3,optionalAttributePTDMap,MATCH($A4,attributeMapFeedProductType,0)+1,FALSE)&gt;0,1,0)</formula>
    </cfRule>
    <cfRule type="expression" dxfId="2611" priority="3104">
      <formula>IF(VLOOKUP($EH$3,preferredAttributePTDMap,MATCH($A4,attributeMapFeedProductType,0)+1,FALSE)&gt;0,1,0)</formula>
    </cfRule>
    <cfRule type="expression" dxfId="2610" priority="310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8 EI13 EI18:EI1048576">
    <cfRule type="expression" dxfId="2609" priority="3106">
      <formula>IF(LEN(EI4)&gt;0,1,0)</formula>
    </cfRule>
    <cfRule type="expression" dxfId="2608" priority="3107">
      <formula>IF(VLOOKUP($EI$3,requiredAttributePTDMap,MATCH($A4,attributeMapFeedProductType,0)+1,FALSE)&gt;0,1,0)</formula>
    </cfRule>
    <cfRule type="expression" dxfId="2607" priority="3108">
      <formula>IF(VLOOKUP($EI$3,optionalAttributePTDMap,MATCH($A4,attributeMapFeedProductType,0)+1,FALSE)&gt;0,1,0)</formula>
    </cfRule>
    <cfRule type="expression" dxfId="2606" priority="3109">
      <formula>IF(VLOOKUP($EI$3,preferredAttributePTDMap,MATCH($A4,attributeMapFeedProductType,0)+1,FALSE)&gt;0,1,0)</formula>
    </cfRule>
    <cfRule type="expression" dxfId="2605" priority="311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8 EJ13 EJ18:EJ1048576">
    <cfRule type="expression" dxfId="2604" priority="3111">
      <formula>IF(LEN(EJ4)&gt;0,1,0)</formula>
    </cfRule>
    <cfRule type="expression" dxfId="2603" priority="3112">
      <formula>IF(VLOOKUP($EJ$3,requiredAttributePTDMap,MATCH($A4,attributeMapFeedProductType,0)+1,FALSE)&gt;0,1,0)</formula>
    </cfRule>
    <cfRule type="expression" dxfId="2602" priority="3113">
      <formula>IF(VLOOKUP($EJ$3,optionalAttributePTDMap,MATCH($A4,attributeMapFeedProductType,0)+1,FALSE)&gt;0,1,0)</formula>
    </cfRule>
    <cfRule type="expression" dxfId="2601" priority="3114">
      <formula>IF(VLOOKUP($EJ$3,preferredAttributePTDMap,MATCH($A4,attributeMapFeedProductType,0)+1,FALSE)&gt;0,1,0)</formula>
    </cfRule>
    <cfRule type="expression" dxfId="2600" priority="311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8 EK13 EK18:EK1048576">
    <cfRule type="expression" dxfId="2599" priority="3116">
      <formula>IF(LEN(EK4)&gt;0,1,0)</formula>
    </cfRule>
    <cfRule type="expression" dxfId="2598" priority="3117">
      <formula>IF(VLOOKUP($EK$3,requiredAttributePTDMap,MATCH($A4,attributeMapFeedProductType,0)+1,FALSE)&gt;0,1,0)</formula>
    </cfRule>
    <cfRule type="expression" dxfId="2597" priority="3118">
      <formula>IF(VLOOKUP($EK$3,optionalAttributePTDMap,MATCH($A4,attributeMapFeedProductType,0)+1,FALSE)&gt;0,1,0)</formula>
    </cfRule>
    <cfRule type="expression" dxfId="2596" priority="3119">
      <formula>IF(VLOOKUP($EK$3,preferredAttributePTDMap,MATCH($A4,attributeMapFeedProductType,0)+1,FALSE)&gt;0,1,0)</formula>
    </cfRule>
    <cfRule type="expression" dxfId="2595" priority="312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8 EL13 EL18:EL1048576">
    <cfRule type="expression" dxfId="2594" priority="3121">
      <formula>IF(LEN(EL4)&gt;0,1,0)</formula>
    </cfRule>
    <cfRule type="expression" dxfId="2593" priority="3122">
      <formula>IF(VLOOKUP($EL$3,requiredAttributePTDMap,MATCH($A4,attributeMapFeedProductType,0)+1,FALSE)&gt;0,1,0)</formula>
    </cfRule>
    <cfRule type="expression" dxfId="2592" priority="3123">
      <formula>IF(VLOOKUP($EL$3,optionalAttributePTDMap,MATCH($A4,attributeMapFeedProductType,0)+1,FALSE)&gt;0,1,0)</formula>
    </cfRule>
    <cfRule type="expression" dxfId="2591" priority="3124">
      <formula>IF(VLOOKUP($EL$3,preferredAttributePTDMap,MATCH($A4,attributeMapFeedProductType,0)+1,FALSE)&gt;0,1,0)</formula>
    </cfRule>
    <cfRule type="expression" dxfId="2590" priority="312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8 EM13 EM18:EM1048576">
    <cfRule type="expression" dxfId="2589" priority="3126">
      <formula>IF(LEN(EM4)&gt;0,1,0)</formula>
    </cfRule>
    <cfRule type="expression" dxfId="2588" priority="3127">
      <formula>IF(VLOOKUP($EM$3,requiredAttributePTDMap,MATCH($A4,attributeMapFeedProductType,0)+1,FALSE)&gt;0,1,0)</formula>
    </cfRule>
    <cfRule type="expression" dxfId="2587" priority="3128">
      <formula>IF(VLOOKUP($EM$3,optionalAttributePTDMap,MATCH($A4,attributeMapFeedProductType,0)+1,FALSE)&gt;0,1,0)</formula>
    </cfRule>
    <cfRule type="expression" dxfId="2586" priority="3129">
      <formula>IF(VLOOKUP($EM$3,preferredAttributePTDMap,MATCH($A4,attributeMapFeedProductType,0)+1,FALSE)&gt;0,1,0)</formula>
    </cfRule>
    <cfRule type="expression" dxfId="2585" priority="313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8 EN13 EN18:EN1048576">
    <cfRule type="expression" dxfId="2584" priority="3131">
      <formula>IF(LEN(EN4)&gt;0,1,0)</formula>
    </cfRule>
    <cfRule type="expression" dxfId="2583" priority="3132">
      <formula>IF(VLOOKUP($EN$3,requiredAttributePTDMap,MATCH($A4,attributeMapFeedProductType,0)+1,FALSE)&gt;0,1,0)</formula>
    </cfRule>
    <cfRule type="expression" dxfId="2582" priority="3133">
      <formula>IF(VLOOKUP($EN$3,optionalAttributePTDMap,MATCH($A4,attributeMapFeedProductType,0)+1,FALSE)&gt;0,1,0)</formula>
    </cfRule>
    <cfRule type="expression" dxfId="2581" priority="3134">
      <formula>IF(VLOOKUP($EN$3,preferredAttributePTDMap,MATCH($A4,attributeMapFeedProductType,0)+1,FALSE)&gt;0,1,0)</formula>
    </cfRule>
    <cfRule type="expression" dxfId="2580" priority="313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8 EO13 EO18:EO1048576">
    <cfRule type="expression" dxfId="2579" priority="3136">
      <formula>IF(LEN(EO4)&gt;0,1,0)</formula>
    </cfRule>
    <cfRule type="expression" dxfId="2578" priority="3137">
      <formula>IF(VLOOKUP($EO$3,requiredAttributePTDMap,MATCH($A4,attributeMapFeedProductType,0)+1,FALSE)&gt;0,1,0)</formula>
    </cfRule>
    <cfRule type="expression" dxfId="2577" priority="3138">
      <formula>IF(VLOOKUP($EO$3,optionalAttributePTDMap,MATCH($A4,attributeMapFeedProductType,0)+1,FALSE)&gt;0,1,0)</formula>
    </cfRule>
    <cfRule type="expression" dxfId="2576" priority="3139">
      <formula>IF(VLOOKUP($EO$3,preferredAttributePTDMap,MATCH($A4,attributeMapFeedProductType,0)+1,FALSE)&gt;0,1,0)</formula>
    </cfRule>
    <cfRule type="expression" dxfId="2575" priority="314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8 EP13 EP18:EP1048576">
    <cfRule type="expression" dxfId="2574" priority="3141">
      <formula>IF(LEN(EP4)&gt;0,1,0)</formula>
    </cfRule>
    <cfRule type="expression" dxfId="2573" priority="3142">
      <formula>IF(VLOOKUP($EP$3,requiredAttributePTDMap,MATCH($A4,attributeMapFeedProductType,0)+1,FALSE)&gt;0,1,0)</formula>
    </cfRule>
    <cfRule type="expression" dxfId="2572" priority="3143">
      <formula>IF(VLOOKUP($EP$3,optionalAttributePTDMap,MATCH($A4,attributeMapFeedProductType,0)+1,FALSE)&gt;0,1,0)</formula>
    </cfRule>
    <cfRule type="expression" dxfId="2571" priority="3144">
      <formula>IF(VLOOKUP($EP$3,preferredAttributePTDMap,MATCH($A4,attributeMapFeedProductType,0)+1,FALSE)&gt;0,1,0)</formula>
    </cfRule>
    <cfRule type="expression" dxfId="2570" priority="3145">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8 EQ13 EQ18:EQ1048576">
    <cfRule type="expression" dxfId="2569" priority="3146">
      <formula>IF(LEN(EQ4)&gt;0,1,0)</formula>
    </cfRule>
    <cfRule type="expression" dxfId="2568" priority="3147">
      <formula>IF(VLOOKUP($EQ$3,requiredAttributePTDMap,MATCH($A4,attributeMapFeedProductType,0)+1,FALSE)&gt;0,1,0)</formula>
    </cfRule>
    <cfRule type="expression" dxfId="2567" priority="3148">
      <formula>IF(VLOOKUP($EQ$3,optionalAttributePTDMap,MATCH($A4,attributeMapFeedProductType,0)+1,FALSE)&gt;0,1,0)</formula>
    </cfRule>
    <cfRule type="expression" dxfId="2566" priority="3149">
      <formula>IF(VLOOKUP($EQ$3,preferredAttributePTDMap,MATCH($A4,attributeMapFeedProductType,0)+1,FALSE)&gt;0,1,0)</formula>
    </cfRule>
    <cfRule type="expression" dxfId="2565" priority="315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8 ER13 ER18:ER1048576">
    <cfRule type="expression" dxfId="2564" priority="3151">
      <formula>IF(LEN(ER4)&gt;0,1,0)</formula>
    </cfRule>
    <cfRule type="expression" dxfId="2563" priority="3152">
      <formula>IF(VLOOKUP($ER$3,requiredAttributePTDMap,MATCH($A4,attributeMapFeedProductType,0)+1,FALSE)&gt;0,1,0)</formula>
    </cfRule>
    <cfRule type="expression" dxfId="2562" priority="3153">
      <formula>IF(VLOOKUP($ER$3,optionalAttributePTDMap,MATCH($A4,attributeMapFeedProductType,0)+1,FALSE)&gt;0,1,0)</formula>
    </cfRule>
    <cfRule type="expression" dxfId="2561" priority="3154">
      <formula>IF(VLOOKUP($ER$3,preferredAttributePTDMap,MATCH($A4,attributeMapFeedProductType,0)+1,FALSE)&gt;0,1,0)</formula>
    </cfRule>
    <cfRule type="expression" dxfId="2560" priority="3155">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8 ES13 ES18:ES1048576">
    <cfRule type="expression" dxfId="2559" priority="3156">
      <formula>IF(LEN(ES4)&gt;0,1,0)</formula>
    </cfRule>
    <cfRule type="expression" dxfId="2558" priority="3157">
      <formula>IF(VLOOKUP($ES$3,requiredAttributePTDMap,MATCH($A4,attributeMapFeedProductType,0)+1,FALSE)&gt;0,1,0)</formula>
    </cfRule>
    <cfRule type="expression" dxfId="2557" priority="3158">
      <formula>IF(VLOOKUP($ES$3,optionalAttributePTDMap,MATCH($A4,attributeMapFeedProductType,0)+1,FALSE)&gt;0,1,0)</formula>
    </cfRule>
    <cfRule type="expression" dxfId="2556" priority="3159">
      <formula>IF(VLOOKUP($ES$3,preferredAttributePTDMap,MATCH($A4,attributeMapFeedProductType,0)+1,FALSE)&gt;0,1,0)</formula>
    </cfRule>
    <cfRule type="expression" dxfId="2555" priority="316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8 ET13 ET18:ET1048576">
    <cfRule type="expression" dxfId="2554" priority="3161">
      <formula>IF(LEN(ET4)&gt;0,1,0)</formula>
    </cfRule>
    <cfRule type="expression" dxfId="2553" priority="3162">
      <formula>IF(VLOOKUP($ET$3,requiredAttributePTDMap,MATCH($A4,attributeMapFeedProductType,0)+1,FALSE)&gt;0,1,0)</formula>
    </cfRule>
    <cfRule type="expression" dxfId="2552" priority="3163">
      <formula>IF(VLOOKUP($ET$3,optionalAttributePTDMap,MATCH($A4,attributeMapFeedProductType,0)+1,FALSE)&gt;0,1,0)</formula>
    </cfRule>
    <cfRule type="expression" dxfId="2551" priority="3164">
      <formula>IF(VLOOKUP($ET$3,preferredAttributePTDMap,MATCH($A4,attributeMapFeedProductType,0)+1,FALSE)&gt;0,1,0)</formula>
    </cfRule>
    <cfRule type="expression" dxfId="2550" priority="3165">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8 EU13 EU18:EU1048576">
    <cfRule type="expression" dxfId="2549" priority="3166">
      <formula>IF(LEN(EU4)&gt;0,1,0)</formula>
    </cfRule>
    <cfRule type="expression" dxfId="2548" priority="3167">
      <formula>IF(VLOOKUP($EU$3,requiredAttributePTDMap,MATCH($A4,attributeMapFeedProductType,0)+1,FALSE)&gt;0,1,0)</formula>
    </cfRule>
    <cfRule type="expression" dxfId="2547" priority="3168">
      <formula>IF(VLOOKUP($EU$3,optionalAttributePTDMap,MATCH($A4,attributeMapFeedProductType,0)+1,FALSE)&gt;0,1,0)</formula>
    </cfRule>
    <cfRule type="expression" dxfId="2546" priority="3169">
      <formula>IF(VLOOKUP($EU$3,preferredAttributePTDMap,MATCH($A4,attributeMapFeedProductType,0)+1,FALSE)&gt;0,1,0)</formula>
    </cfRule>
    <cfRule type="expression" dxfId="2545" priority="317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8 EV13 EV18:EV1048576">
    <cfRule type="expression" dxfId="2544" priority="3171">
      <formula>IF(LEN(EV4)&gt;0,1,0)</formula>
    </cfRule>
    <cfRule type="expression" dxfId="2543" priority="3172">
      <formula>IF(VLOOKUP($EV$3,requiredAttributePTDMap,MATCH($A4,attributeMapFeedProductType,0)+1,FALSE)&gt;0,1,0)</formula>
    </cfRule>
    <cfRule type="expression" dxfId="2542" priority="3173">
      <formula>IF(VLOOKUP($EV$3,optionalAttributePTDMap,MATCH($A4,attributeMapFeedProductType,0)+1,FALSE)&gt;0,1,0)</formula>
    </cfRule>
    <cfRule type="expression" dxfId="2541" priority="3174">
      <formula>IF(VLOOKUP($EV$3,preferredAttributePTDMap,MATCH($A4,attributeMapFeedProductType,0)+1,FALSE)&gt;0,1,0)</formula>
    </cfRule>
    <cfRule type="expression" dxfId="2540" priority="3175">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8 EW13 EW18:EW1048576">
    <cfRule type="expression" dxfId="2539" priority="3176">
      <formula>IF(LEN(EW4)&gt;0,1,0)</formula>
    </cfRule>
    <cfRule type="expression" dxfId="2538" priority="3177">
      <formula>IF(VLOOKUP($EW$3,requiredAttributePTDMap,MATCH($A4,attributeMapFeedProductType,0)+1,FALSE)&gt;0,1,0)</formula>
    </cfRule>
    <cfRule type="expression" dxfId="2537" priority="3178">
      <formula>IF(VLOOKUP($EW$3,optionalAttributePTDMap,MATCH($A4,attributeMapFeedProductType,0)+1,FALSE)&gt;0,1,0)</formula>
    </cfRule>
    <cfRule type="expression" dxfId="2536" priority="3179">
      <formula>IF(VLOOKUP($EW$3,preferredAttributePTDMap,MATCH($A4,attributeMapFeedProductType,0)+1,FALSE)&gt;0,1,0)</formula>
    </cfRule>
    <cfRule type="expression" dxfId="2535" priority="318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8 EX13 EX18:EX1048576">
    <cfRule type="expression" dxfId="2534" priority="3181">
      <formula>IF(LEN(EX4)&gt;0,1,0)</formula>
    </cfRule>
    <cfRule type="expression" dxfId="2533" priority="3182">
      <formula>IF(VLOOKUP($EX$3,requiredAttributePTDMap,MATCH($A4,attributeMapFeedProductType,0)+1,FALSE)&gt;0,1,0)</formula>
    </cfRule>
    <cfRule type="expression" dxfId="2532" priority="3183">
      <formula>IF(VLOOKUP($EX$3,optionalAttributePTDMap,MATCH($A4,attributeMapFeedProductType,0)+1,FALSE)&gt;0,1,0)</formula>
    </cfRule>
    <cfRule type="expression" dxfId="2531" priority="3184">
      <formula>IF(VLOOKUP($EX$3,preferredAttributePTDMap,MATCH($A4,attributeMapFeedProductType,0)+1,FALSE)&gt;0,1,0)</formula>
    </cfRule>
    <cfRule type="expression" dxfId="2530" priority="3185">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8 EY13 EY18:EY1048576">
    <cfRule type="expression" dxfId="2529" priority="3186">
      <formula>IF(LEN(EY4)&gt;0,1,0)</formula>
    </cfRule>
    <cfRule type="expression" dxfId="2528" priority="3187">
      <formula>IF(VLOOKUP($EY$3,requiredAttributePTDMap,MATCH($A4,attributeMapFeedProductType,0)+1,FALSE)&gt;0,1,0)</formula>
    </cfRule>
    <cfRule type="expression" dxfId="2527" priority="3188">
      <formula>IF(VLOOKUP($EY$3,optionalAttributePTDMap,MATCH($A4,attributeMapFeedProductType,0)+1,FALSE)&gt;0,1,0)</formula>
    </cfRule>
    <cfRule type="expression" dxfId="2526" priority="3189">
      <formula>IF(VLOOKUP($EY$3,preferredAttributePTDMap,MATCH($A4,attributeMapFeedProductType,0)+1,FALSE)&gt;0,1,0)</formula>
    </cfRule>
    <cfRule type="expression" dxfId="2525" priority="319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8 EZ13 EZ18:EZ1048576">
    <cfRule type="expression" dxfId="2524" priority="3191">
      <formula>IF(LEN(EZ4)&gt;0,1,0)</formula>
    </cfRule>
    <cfRule type="expression" dxfId="2523" priority="3192">
      <formula>IF(VLOOKUP($EZ$3,requiredAttributePTDMap,MATCH($A4,attributeMapFeedProductType,0)+1,FALSE)&gt;0,1,0)</formula>
    </cfRule>
    <cfRule type="expression" dxfId="2522" priority="3193">
      <formula>IF(VLOOKUP($EZ$3,optionalAttributePTDMap,MATCH($A4,attributeMapFeedProductType,0)+1,FALSE)&gt;0,1,0)</formula>
    </cfRule>
    <cfRule type="expression" dxfId="2521" priority="3194">
      <formula>IF(VLOOKUP($EZ$3,preferredAttributePTDMap,MATCH($A4,attributeMapFeedProductType,0)+1,FALSE)&gt;0,1,0)</formula>
    </cfRule>
    <cfRule type="expression" dxfId="2520" priority="3195">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8 FA13 FA18:FA1048576">
    <cfRule type="expression" dxfId="2519" priority="3196">
      <formula>IF(LEN(FA4)&gt;0,1,0)</formula>
    </cfRule>
    <cfRule type="expression" dxfId="2518" priority="3197">
      <formula>IF(VLOOKUP($FA$3,requiredAttributePTDMap,MATCH($A4,attributeMapFeedProductType,0)+1,FALSE)&gt;0,1,0)</formula>
    </cfRule>
    <cfRule type="expression" dxfId="2517" priority="3198">
      <formula>IF(VLOOKUP($FA$3,optionalAttributePTDMap,MATCH($A4,attributeMapFeedProductType,0)+1,FALSE)&gt;0,1,0)</formula>
    </cfRule>
    <cfRule type="expression" dxfId="2516" priority="3199">
      <formula>IF(VLOOKUP($FA$3,preferredAttributePTDMap,MATCH($A4,attributeMapFeedProductType,0)+1,FALSE)&gt;0,1,0)</formula>
    </cfRule>
    <cfRule type="expression" dxfId="2515" priority="320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8 FB13 FB18:FB1048576">
    <cfRule type="expression" dxfId="2514" priority="3201">
      <formula>IF(LEN(FB4)&gt;0,1,0)</formula>
    </cfRule>
    <cfRule type="expression" dxfId="2513" priority="3202">
      <formula>IF(VLOOKUP($FB$3,requiredAttributePTDMap,MATCH($A4,attributeMapFeedProductType,0)+1,FALSE)&gt;0,1,0)</formula>
    </cfRule>
    <cfRule type="expression" dxfId="2512" priority="3203">
      <formula>IF(VLOOKUP($FB$3,optionalAttributePTDMap,MATCH($A4,attributeMapFeedProductType,0)+1,FALSE)&gt;0,1,0)</formula>
    </cfRule>
    <cfRule type="expression" dxfId="2511" priority="3204">
      <formula>IF(VLOOKUP($FB$3,preferredAttributePTDMap,MATCH($A4,attributeMapFeedProductType,0)+1,FALSE)&gt;0,1,0)</formula>
    </cfRule>
    <cfRule type="expression" dxfId="2510" priority="3205">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8 FC13 FC18:FC1048576">
    <cfRule type="expression" dxfId="2509" priority="3206">
      <formula>IF(LEN(FC4)&gt;0,1,0)</formula>
    </cfRule>
    <cfRule type="expression" dxfId="2508" priority="3207">
      <formula>IF(VLOOKUP($FC$3,requiredAttributePTDMap,MATCH($A4,attributeMapFeedProductType,0)+1,FALSE)&gt;0,1,0)</formula>
    </cfRule>
    <cfRule type="expression" dxfId="2507" priority="3208">
      <formula>IF(VLOOKUP($FC$3,optionalAttributePTDMap,MATCH($A4,attributeMapFeedProductType,0)+1,FALSE)&gt;0,1,0)</formula>
    </cfRule>
    <cfRule type="expression" dxfId="2506" priority="3209">
      <formula>IF(VLOOKUP($FC$3,preferredAttributePTDMap,MATCH($A4,attributeMapFeedProductType,0)+1,FALSE)&gt;0,1,0)</formula>
    </cfRule>
    <cfRule type="expression" dxfId="2505" priority="321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8 FD13 FD18:FD1048576">
    <cfRule type="expression" dxfId="2504" priority="3211">
      <formula>IF(LEN(FD4)&gt;0,1,0)</formula>
    </cfRule>
    <cfRule type="expression" dxfId="2503" priority="3212">
      <formula>IF(VLOOKUP($FD$3,requiredAttributePTDMap,MATCH($A4,attributeMapFeedProductType,0)+1,FALSE)&gt;0,1,0)</formula>
    </cfRule>
    <cfRule type="expression" dxfId="2502" priority="3213">
      <formula>IF(VLOOKUP($FD$3,optionalAttributePTDMap,MATCH($A4,attributeMapFeedProductType,0)+1,FALSE)&gt;0,1,0)</formula>
    </cfRule>
    <cfRule type="expression" dxfId="2501" priority="3214">
      <formula>IF(VLOOKUP($FD$3,preferredAttributePTDMap,MATCH($A4,attributeMapFeedProductType,0)+1,FALSE)&gt;0,1,0)</formula>
    </cfRule>
    <cfRule type="expression" dxfId="2500" priority="3215">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8 FE13 FE18:FE1048576">
    <cfRule type="expression" dxfId="2499" priority="3216">
      <formula>IF(LEN(FE4)&gt;0,1,0)</formula>
    </cfRule>
    <cfRule type="expression" dxfId="2498" priority="3217">
      <formula>IF(VLOOKUP($FE$3,requiredAttributePTDMap,MATCH($A4,attributeMapFeedProductType,0)+1,FALSE)&gt;0,1,0)</formula>
    </cfRule>
    <cfRule type="expression" dxfId="2497" priority="3218">
      <formula>IF(VLOOKUP($FE$3,optionalAttributePTDMap,MATCH($A4,attributeMapFeedProductType,0)+1,FALSE)&gt;0,1,0)</formula>
    </cfRule>
    <cfRule type="expression" dxfId="2496" priority="3219">
      <formula>IF(VLOOKUP($FE$3,preferredAttributePTDMap,MATCH($A4,attributeMapFeedProductType,0)+1,FALSE)&gt;0,1,0)</formula>
    </cfRule>
    <cfRule type="expression" dxfId="2495" priority="322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8 FF13 FF18:FF1048576">
    <cfRule type="expression" dxfId="2494" priority="3221">
      <formula>IF(LEN(FF4)&gt;0,1,0)</formula>
    </cfRule>
    <cfRule type="expression" dxfId="2493" priority="3222">
      <formula>IF(VLOOKUP($FF$3,requiredAttributePTDMap,MATCH($A4,attributeMapFeedProductType,0)+1,FALSE)&gt;0,1,0)</formula>
    </cfRule>
    <cfRule type="expression" dxfId="2492" priority="3223">
      <formula>IF(VLOOKUP($FF$3,optionalAttributePTDMap,MATCH($A4,attributeMapFeedProductType,0)+1,FALSE)&gt;0,1,0)</formula>
    </cfRule>
    <cfRule type="expression" dxfId="2491" priority="3224">
      <formula>IF(VLOOKUP($FF$3,preferredAttributePTDMap,MATCH($A4,attributeMapFeedProductType,0)+1,FALSE)&gt;0,1,0)</formula>
    </cfRule>
    <cfRule type="expression" dxfId="2490" priority="3225">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8 FG13 FG18:FG1048576">
    <cfRule type="expression" dxfId="2489" priority="3226">
      <formula>IF(LEN(FG4)&gt;0,1,0)</formula>
    </cfRule>
    <cfRule type="expression" dxfId="2488" priority="3227">
      <formula>IF(VLOOKUP($FG$3,requiredAttributePTDMap,MATCH($A4,attributeMapFeedProductType,0)+1,FALSE)&gt;0,1,0)</formula>
    </cfRule>
    <cfRule type="expression" dxfId="2487" priority="3228">
      <formula>IF(VLOOKUP($FG$3,optionalAttributePTDMap,MATCH($A4,attributeMapFeedProductType,0)+1,FALSE)&gt;0,1,0)</formula>
    </cfRule>
    <cfRule type="expression" dxfId="2486" priority="3229">
      <formula>IF(VLOOKUP($FG$3,preferredAttributePTDMap,MATCH($A4,attributeMapFeedProductType,0)+1,FALSE)&gt;0,1,0)</formula>
    </cfRule>
    <cfRule type="expression" dxfId="2485" priority="323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8 FH13 FH18:FH1048576">
    <cfRule type="expression" dxfId="2484" priority="3231">
      <formula>IF(LEN(FH4)&gt;0,1,0)</formula>
    </cfRule>
    <cfRule type="expression" dxfId="2483" priority="3232">
      <formula>IF(VLOOKUP($FH$3,requiredAttributePTDMap,MATCH($A4,attributeMapFeedProductType,0)+1,FALSE)&gt;0,1,0)</formula>
    </cfRule>
    <cfRule type="expression" dxfId="2482" priority="3233">
      <formula>IF(VLOOKUP($FH$3,optionalAttributePTDMap,MATCH($A4,attributeMapFeedProductType,0)+1,FALSE)&gt;0,1,0)</formula>
    </cfRule>
    <cfRule type="expression" dxfId="2481" priority="3234">
      <formula>IF(VLOOKUP($FH$3,preferredAttributePTDMap,MATCH($A4,attributeMapFeedProductType,0)+1,FALSE)&gt;0,1,0)</formula>
    </cfRule>
    <cfRule type="expression" dxfId="2480" priority="3235">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8 FI13 FI18:FI1048576">
    <cfRule type="expression" dxfId="2479" priority="3236">
      <formula>IF(LEN(FI4)&gt;0,1,0)</formula>
    </cfRule>
    <cfRule type="expression" dxfId="2478" priority="3237">
      <formula>IF(VLOOKUP($FI$3,requiredAttributePTDMap,MATCH($A4,attributeMapFeedProductType,0)+1,FALSE)&gt;0,1,0)</formula>
    </cfRule>
    <cfRule type="expression" dxfId="2477" priority="3238">
      <formula>IF(VLOOKUP($FI$3,optionalAttributePTDMap,MATCH($A4,attributeMapFeedProductType,0)+1,FALSE)&gt;0,1,0)</formula>
    </cfRule>
    <cfRule type="expression" dxfId="2476" priority="3239">
      <formula>IF(VLOOKUP($FI$3,preferredAttributePTDMap,MATCH($A4,attributeMapFeedProductType,0)+1,FALSE)&gt;0,1,0)</formula>
    </cfRule>
    <cfRule type="expression" dxfId="2475" priority="324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8 FJ13 FJ18:FJ1048576">
    <cfRule type="expression" dxfId="2474" priority="3241">
      <formula>IF(LEN(FJ4)&gt;0,1,0)</formula>
    </cfRule>
    <cfRule type="expression" dxfId="2473" priority="3242">
      <formula>AND(A4&lt;&gt;"",OR(OR((FK4&lt;&gt;"")),OR((FL4&lt;&gt;""))))</formula>
    </cfRule>
    <cfRule type="expression" dxfId="2472" priority="3243">
      <formula>IF(VLOOKUP($FJ$3,requiredAttributePTDMap,MATCH($A4,attributeMapFeedProductType,0)+1,FALSE)&gt;0,1,0)</formula>
    </cfRule>
    <cfRule type="expression" dxfId="2471" priority="3244">
      <formula>IF(VLOOKUP($FJ$3,optionalAttributePTDMap,MATCH($A4,attributeMapFeedProductType,0)+1,FALSE)&gt;0,1,0)</formula>
    </cfRule>
    <cfRule type="expression" dxfId="2470" priority="3245">
      <formula>IF(VLOOKUP($FJ$3,preferredAttributePTDMap,MATCH($A4,attributeMapFeedProductType,0)+1,FALSE)&gt;0,1,0)</formula>
    </cfRule>
    <cfRule type="expression" dxfId="2469" priority="3246">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8 FK13 FK18:FK1048576">
    <cfRule type="expression" dxfId="2468" priority="3247">
      <formula>IF(LEN(FK4)&gt;0,1,0)</formula>
    </cfRule>
    <cfRule type="expression" dxfId="2467" priority="3248">
      <formula>AND(A4&lt;&gt;"",OR(OR((FJ4&lt;&gt;"")),OR((FL4&lt;&gt;""))))</formula>
    </cfRule>
    <cfRule type="expression" dxfId="2466" priority="3249">
      <formula>IF(VLOOKUP($FK$3,requiredAttributePTDMap,MATCH($A4,attributeMapFeedProductType,0)+1,FALSE)&gt;0,1,0)</formula>
    </cfRule>
    <cfRule type="expression" dxfId="2465" priority="3250">
      <formula>IF(VLOOKUP($FK$3,optionalAttributePTDMap,MATCH($A4,attributeMapFeedProductType,0)+1,FALSE)&gt;0,1,0)</formula>
    </cfRule>
    <cfRule type="expression" dxfId="2464" priority="3251">
      <formula>IF(VLOOKUP($FK$3,preferredAttributePTDMap,MATCH($A4,attributeMapFeedProductType,0)+1,FALSE)&gt;0,1,0)</formula>
    </cfRule>
    <cfRule type="expression" dxfId="2463" priority="3252">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8 FL13 FL18:FL1048576">
    <cfRule type="expression" dxfId="2462" priority="3253">
      <formula>IF(LEN(FL4)&gt;0,1,0)</formula>
    </cfRule>
    <cfRule type="expression" dxfId="2461" priority="3254">
      <formula>AND(A4&lt;&gt;"",OR(OR((FJ4&lt;&gt;"")),OR((FK4&lt;&gt;""))))</formula>
    </cfRule>
    <cfRule type="expression" dxfId="2460" priority="3255">
      <formula>IF(VLOOKUP($FL$3,requiredAttributePTDMap,MATCH($A4,attributeMapFeedProductType,0)+1,FALSE)&gt;0,1,0)</formula>
    </cfRule>
    <cfRule type="expression" dxfId="2459" priority="3256">
      <formula>IF(VLOOKUP($FL$3,optionalAttributePTDMap,MATCH($A4,attributeMapFeedProductType,0)+1,FALSE)&gt;0,1,0)</formula>
    </cfRule>
    <cfRule type="expression" dxfId="2458" priority="3257">
      <formula>IF(VLOOKUP($FL$3,preferredAttributePTDMap,MATCH($A4,attributeMapFeedProductType,0)+1,FALSE)&gt;0,1,0)</formula>
    </cfRule>
    <cfRule type="expression" dxfId="2457" priority="3258">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8 FM13 FM18:FM1048576">
    <cfRule type="expression" dxfId="2456" priority="3259">
      <formula>AND(AND((0)),1=1)</formula>
    </cfRule>
    <cfRule type="expression" dxfId="2455" priority="3260">
      <formula>IF(LEN(FM4)&gt;0,1,0)</formula>
    </cfRule>
    <cfRule type="expression" dxfId="2454" priority="3261">
      <formula>IF(VLOOKUP($FM$3,requiredAttributePTDMap,MATCH($A4,attributeMapFeedProductType,0)+1,FALSE)&gt;0,1,0)</formula>
    </cfRule>
    <cfRule type="expression" dxfId="2453" priority="3262">
      <formula>IF(VLOOKUP($FM$3,optionalAttributePTDMap,MATCH($A4,attributeMapFeedProductType,0)+1,FALSE)&gt;0,1,0)</formula>
    </cfRule>
    <cfRule type="expression" dxfId="2452" priority="3263">
      <formula>IF(VLOOKUP($FM$3,preferredAttributePTDMap,MATCH($A4,attributeMapFeedProductType,0)+1,FALSE)&gt;0,1,0)</formula>
    </cfRule>
    <cfRule type="expression" dxfId="2451" priority="3264">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8 FN13 FN18:FN1048576">
    <cfRule type="expression" dxfId="2450" priority="3265">
      <formula>IF(LEN(FN4)&gt;0,1,0)</formula>
    </cfRule>
    <cfRule type="expression" dxfId="2449" priority="3266">
      <formula>IF(VLOOKUP($FN$3,requiredAttributePTDMap,MATCH($A4,attributeMapFeedProductType,0)+1,FALSE)&gt;0,1,0)</formula>
    </cfRule>
    <cfRule type="expression" dxfId="2448" priority="3267">
      <formula>IF(VLOOKUP($FN$3,optionalAttributePTDMap,MATCH($A4,attributeMapFeedProductType,0)+1,FALSE)&gt;0,1,0)</formula>
    </cfRule>
    <cfRule type="expression" dxfId="2447" priority="3268">
      <formula>IF(VLOOKUP($FN$3,preferredAttributePTDMap,MATCH($A4,attributeMapFeedProductType,0)+1,FALSE)&gt;0,1,0)</formula>
    </cfRule>
    <cfRule type="expression" dxfId="2446" priority="3269">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8 FO13 FO18:FO1048576">
    <cfRule type="expression" dxfId="2445" priority="3270">
      <formula>AND(AND((0)),1=1)</formula>
    </cfRule>
    <cfRule type="expression" dxfId="2444" priority="3271">
      <formula>IF(LEN(FO4)&gt;0,1,0)</formula>
    </cfRule>
    <cfRule type="expression" dxfId="2443" priority="3272">
      <formula>IF(VLOOKUP($FO$3,requiredAttributePTDMap,MATCH($A4,attributeMapFeedProductType,0)+1,FALSE)&gt;0,1,0)</formula>
    </cfRule>
    <cfRule type="expression" dxfId="2442" priority="3273">
      <formula>IF(VLOOKUP($FO$3,optionalAttributePTDMap,MATCH($A4,attributeMapFeedProductType,0)+1,FALSE)&gt;0,1,0)</formula>
    </cfRule>
    <cfRule type="expression" dxfId="2441" priority="3274">
      <formula>IF(VLOOKUP($FO$3,preferredAttributePTDMap,MATCH($A4,attributeMapFeedProductType,0)+1,FALSE)&gt;0,1,0)</formula>
    </cfRule>
    <cfRule type="expression" dxfId="2440" priority="3275">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8 FP13 FP18:FP1048576">
    <cfRule type="expression" dxfId="2439" priority="3276">
      <formula>IF(LEN(FP4)&gt;0,1,0)</formula>
    </cfRule>
    <cfRule type="expression" dxfId="2438" priority="3277">
      <formula>AND(A4&lt;&gt;"",OR(OR((FQ4&lt;&gt;"")),OR((FR4&lt;&gt;""))))</formula>
    </cfRule>
    <cfRule type="expression" dxfId="2437" priority="3278">
      <formula>IF(VLOOKUP($FP$3,requiredAttributePTDMap,MATCH($A4,attributeMapFeedProductType,0)+1,FALSE)&gt;0,1,0)</formula>
    </cfRule>
    <cfRule type="expression" dxfId="2436" priority="3279">
      <formula>IF(VLOOKUP($FP$3,optionalAttributePTDMap,MATCH($A4,attributeMapFeedProductType,0)+1,FALSE)&gt;0,1,0)</formula>
    </cfRule>
    <cfRule type="expression" dxfId="2435" priority="3280">
      <formula>IF(VLOOKUP($FP$3,preferredAttributePTDMap,MATCH($A4,attributeMapFeedProductType,0)+1,FALSE)&gt;0,1,0)</formula>
    </cfRule>
    <cfRule type="expression" dxfId="2434" priority="328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8 FQ13 FQ18:FQ1048576">
    <cfRule type="expression" dxfId="2433" priority="3282">
      <formula>IF(LEN(FQ4)&gt;0,1,0)</formula>
    </cfRule>
    <cfRule type="expression" dxfId="2432" priority="3283">
      <formula>AND(A4&lt;&gt;"",OR(OR((FP4&lt;&gt;"")),OR((FR4&lt;&gt;""))))</formula>
    </cfRule>
    <cfRule type="expression" dxfId="2431" priority="3284">
      <formula>IF(VLOOKUP($FQ$3,requiredAttributePTDMap,MATCH($A4,attributeMapFeedProductType,0)+1,FALSE)&gt;0,1,0)</formula>
    </cfRule>
    <cfRule type="expression" dxfId="2430" priority="3285">
      <formula>IF(VLOOKUP($FQ$3,optionalAttributePTDMap,MATCH($A4,attributeMapFeedProductType,0)+1,FALSE)&gt;0,1,0)</formula>
    </cfRule>
    <cfRule type="expression" dxfId="2429" priority="3286">
      <formula>IF(VLOOKUP($FQ$3,preferredAttributePTDMap,MATCH($A4,attributeMapFeedProductType,0)+1,FALSE)&gt;0,1,0)</formula>
    </cfRule>
    <cfRule type="expression" dxfId="2428" priority="3287">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8 FR13 FR18:FR1048576">
    <cfRule type="expression" dxfId="2427" priority="3288">
      <formula>IF(LEN(FR4)&gt;0,1,0)</formula>
    </cfRule>
    <cfRule type="expression" dxfId="2426" priority="3289">
      <formula>AND(A4&lt;&gt;"",OR(OR((FP4&lt;&gt;"")),OR((FQ4&lt;&gt;""))))</formula>
    </cfRule>
    <cfRule type="expression" dxfId="2425" priority="3290">
      <formula>IF(VLOOKUP($FR$3,requiredAttributePTDMap,MATCH($A4,attributeMapFeedProductType,0)+1,FALSE)&gt;0,1,0)</formula>
    </cfRule>
    <cfRule type="expression" dxfId="2424" priority="3291">
      <formula>IF(VLOOKUP($FR$3,optionalAttributePTDMap,MATCH($A4,attributeMapFeedProductType,0)+1,FALSE)&gt;0,1,0)</formula>
    </cfRule>
    <cfRule type="expression" dxfId="2423" priority="3292">
      <formula>IF(VLOOKUP($FR$3,preferredAttributePTDMap,MATCH($A4,attributeMapFeedProductType,0)+1,FALSE)&gt;0,1,0)</formula>
    </cfRule>
    <cfRule type="expression" dxfId="2422" priority="3293">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8 FS13 FS18:FS1048576">
    <cfRule type="expression" dxfId="2421" priority="3294">
      <formula>AND(AND((0)),1=1)</formula>
    </cfRule>
    <cfRule type="expression" dxfId="2420" priority="3295">
      <formula>IF(LEN(FS4)&gt;0,1,0)</formula>
    </cfRule>
    <cfRule type="expression" dxfId="2419" priority="3296">
      <formula>IF(VLOOKUP($FS$3,requiredAttributePTDMap,MATCH($A4,attributeMapFeedProductType,0)+1,FALSE)&gt;0,1,0)</formula>
    </cfRule>
    <cfRule type="expression" dxfId="2418" priority="3297">
      <formula>IF(VLOOKUP($FS$3,optionalAttributePTDMap,MATCH($A4,attributeMapFeedProductType,0)+1,FALSE)&gt;0,1,0)</formula>
    </cfRule>
    <cfRule type="expression" dxfId="2417" priority="3298">
      <formula>IF(VLOOKUP($FS$3,preferredAttributePTDMap,MATCH($A4,attributeMapFeedProductType,0)+1,FALSE)&gt;0,1,0)</formula>
    </cfRule>
    <cfRule type="expression" dxfId="2416" priority="3299">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8 FT13 FT18:FT1048576">
    <cfRule type="expression" dxfId="2415" priority="3300">
      <formula>IF(LEN(FT4)&gt;0,1,0)</formula>
    </cfRule>
    <cfRule type="expression" dxfId="2414" priority="3301">
      <formula>IF(VLOOKUP($FT$3,requiredAttributePTDMap,MATCH($A4,attributeMapFeedProductType,0)+1,FALSE)&gt;0,1,0)</formula>
    </cfRule>
    <cfRule type="expression" dxfId="2413" priority="3302">
      <formula>IF(VLOOKUP($FT$3,optionalAttributePTDMap,MATCH($A4,attributeMapFeedProductType,0)+1,FALSE)&gt;0,1,0)</formula>
    </cfRule>
    <cfRule type="expression" dxfId="2412" priority="3303">
      <formula>IF(VLOOKUP($FT$3,preferredAttributePTDMap,MATCH($A4,attributeMapFeedProductType,0)+1,FALSE)&gt;0,1,0)</formula>
    </cfRule>
    <cfRule type="expression" dxfId="2411" priority="3304">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8 FU13 FU18:FU1048576">
    <cfRule type="expression" dxfId="2410" priority="3305">
      <formula>AND(AND((0)),1=1)</formula>
    </cfRule>
    <cfRule type="expression" dxfId="2409" priority="3306">
      <formula>IF(LEN(FU4)&gt;0,1,0)</formula>
    </cfRule>
    <cfRule type="expression" dxfId="2408" priority="3307">
      <formula>IF(VLOOKUP($FU$3,requiredAttributePTDMap,MATCH($A4,attributeMapFeedProductType,0)+1,FALSE)&gt;0,1,0)</formula>
    </cfRule>
    <cfRule type="expression" dxfId="2407" priority="3308">
      <formula>IF(VLOOKUP($FU$3,optionalAttributePTDMap,MATCH($A4,attributeMapFeedProductType,0)+1,FALSE)&gt;0,1,0)</formula>
    </cfRule>
    <cfRule type="expression" dxfId="2406" priority="3309">
      <formula>IF(VLOOKUP($FU$3,preferredAttributePTDMap,MATCH($A4,attributeMapFeedProductType,0)+1,FALSE)&gt;0,1,0)</formula>
    </cfRule>
    <cfRule type="expression" dxfId="2405" priority="331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8 FV13 FV18:FV1048576">
    <cfRule type="expression" dxfId="2404" priority="3311">
      <formula>IF(LEN(FV4)&gt;0,1,0)</formula>
    </cfRule>
    <cfRule type="expression" dxfId="2403" priority="3312">
      <formula>AND(A4&lt;&gt;"",OR(OR((FW4&lt;&gt;"")),OR((FX4&lt;&gt;""))))</formula>
    </cfRule>
    <cfRule type="expression" dxfId="2402" priority="3313">
      <formula>IF(VLOOKUP($FV$3,requiredAttributePTDMap,MATCH($A4,attributeMapFeedProductType,0)+1,FALSE)&gt;0,1,0)</formula>
    </cfRule>
    <cfRule type="expression" dxfId="2401" priority="3314">
      <formula>IF(VLOOKUP($FV$3,optionalAttributePTDMap,MATCH($A4,attributeMapFeedProductType,0)+1,FALSE)&gt;0,1,0)</formula>
    </cfRule>
    <cfRule type="expression" dxfId="2400" priority="3315">
      <formula>IF(VLOOKUP($FV$3,preferredAttributePTDMap,MATCH($A4,attributeMapFeedProductType,0)+1,FALSE)&gt;0,1,0)</formula>
    </cfRule>
    <cfRule type="expression" dxfId="2399" priority="3316">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8 FW13 FW18:FW1048576">
    <cfRule type="expression" dxfId="2398" priority="3317">
      <formula>IF(LEN(FW4)&gt;0,1,0)</formula>
    </cfRule>
    <cfRule type="expression" dxfId="2397" priority="3318">
      <formula>AND(A4&lt;&gt;"",OR(OR((FV4&lt;&gt;"")),OR((FX4&lt;&gt;""))))</formula>
    </cfRule>
    <cfRule type="expression" dxfId="2396" priority="3319">
      <formula>IF(VLOOKUP($FW$3,requiredAttributePTDMap,MATCH($A4,attributeMapFeedProductType,0)+1,FALSE)&gt;0,1,0)</formula>
    </cfRule>
    <cfRule type="expression" dxfId="2395" priority="3320">
      <formula>IF(VLOOKUP($FW$3,optionalAttributePTDMap,MATCH($A4,attributeMapFeedProductType,0)+1,FALSE)&gt;0,1,0)</formula>
    </cfRule>
    <cfRule type="expression" dxfId="2394" priority="3321">
      <formula>IF(VLOOKUP($FW$3,preferredAttributePTDMap,MATCH($A4,attributeMapFeedProductType,0)+1,FALSE)&gt;0,1,0)</formula>
    </cfRule>
    <cfRule type="expression" dxfId="2393" priority="3322">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8 FX13 FX18:FX1048576">
    <cfRule type="expression" dxfId="2392" priority="3323">
      <formula>IF(LEN(FX4)&gt;0,1,0)</formula>
    </cfRule>
    <cfRule type="expression" dxfId="2391" priority="3324">
      <formula>AND(A4&lt;&gt;"",OR(OR((FV4&lt;&gt;"")),OR((FW4&lt;&gt;""))))</formula>
    </cfRule>
    <cfRule type="expression" dxfId="2390" priority="3325">
      <formula>IF(VLOOKUP($FX$3,requiredAttributePTDMap,MATCH($A4,attributeMapFeedProductType,0)+1,FALSE)&gt;0,1,0)</formula>
    </cfRule>
    <cfRule type="expression" dxfId="2389" priority="3326">
      <formula>IF(VLOOKUP($FX$3,optionalAttributePTDMap,MATCH($A4,attributeMapFeedProductType,0)+1,FALSE)&gt;0,1,0)</formula>
    </cfRule>
    <cfRule type="expression" dxfId="2388" priority="3327">
      <formula>IF(VLOOKUP($FX$3,preferredAttributePTDMap,MATCH($A4,attributeMapFeedProductType,0)+1,FALSE)&gt;0,1,0)</formula>
    </cfRule>
    <cfRule type="expression" dxfId="2387" priority="3328">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8 FY13 FY18:FY1048576">
    <cfRule type="expression" dxfId="2386" priority="3329">
      <formula>AND(AND((0)),1=1)</formula>
    </cfRule>
    <cfRule type="expression" dxfId="2385" priority="3330">
      <formula>IF(LEN(FY4)&gt;0,1,0)</formula>
    </cfRule>
    <cfRule type="expression" dxfId="2384" priority="3331">
      <formula>IF(VLOOKUP($FY$3,requiredAttributePTDMap,MATCH($A4,attributeMapFeedProductType,0)+1,FALSE)&gt;0,1,0)</formula>
    </cfRule>
    <cfRule type="expression" dxfId="2383" priority="3332">
      <formula>IF(VLOOKUP($FY$3,optionalAttributePTDMap,MATCH($A4,attributeMapFeedProductType,0)+1,FALSE)&gt;0,1,0)</formula>
    </cfRule>
    <cfRule type="expression" dxfId="2382" priority="3333">
      <formula>IF(VLOOKUP($FY$3,preferredAttributePTDMap,MATCH($A4,attributeMapFeedProductType,0)+1,FALSE)&gt;0,1,0)</formula>
    </cfRule>
    <cfRule type="expression" dxfId="2381" priority="3334">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8 FZ13 FZ18:FZ1048576">
    <cfRule type="expression" dxfId="2380" priority="3335">
      <formula>IF(LEN(FZ4)&gt;0,1,0)</formula>
    </cfRule>
    <cfRule type="expression" dxfId="2379" priority="3336">
      <formula>IF(VLOOKUP($FZ$3,requiredAttributePTDMap,MATCH($A4,attributeMapFeedProductType,0)+1,FALSE)&gt;0,1,0)</formula>
    </cfRule>
    <cfRule type="expression" dxfId="2378" priority="3337">
      <formula>IF(VLOOKUP($FZ$3,optionalAttributePTDMap,MATCH($A4,attributeMapFeedProductType,0)+1,FALSE)&gt;0,1,0)</formula>
    </cfRule>
    <cfRule type="expression" dxfId="2377" priority="3338">
      <formula>IF(VLOOKUP($FZ$3,preferredAttributePTDMap,MATCH($A4,attributeMapFeedProductType,0)+1,FALSE)&gt;0,1,0)</formula>
    </cfRule>
    <cfRule type="expression" dxfId="2376" priority="3339">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8 GA13 GA18:GA1048576">
    <cfRule type="expression" dxfId="2375" priority="3340">
      <formula>AND(AND((0)),1=1)</formula>
    </cfRule>
    <cfRule type="expression" dxfId="2374" priority="3341">
      <formula>IF(LEN(GA4)&gt;0,1,0)</formula>
    </cfRule>
    <cfRule type="expression" dxfId="2373" priority="3342">
      <formula>IF(VLOOKUP($GA$3,requiredAttributePTDMap,MATCH($A4,attributeMapFeedProductType,0)+1,FALSE)&gt;0,1,0)</formula>
    </cfRule>
    <cfRule type="expression" dxfId="2372" priority="3343">
      <formula>IF(VLOOKUP($GA$3,optionalAttributePTDMap,MATCH($A4,attributeMapFeedProductType,0)+1,FALSE)&gt;0,1,0)</formula>
    </cfRule>
    <cfRule type="expression" dxfId="2371" priority="3344">
      <formula>IF(VLOOKUP($GA$3,preferredAttributePTDMap,MATCH($A4,attributeMapFeedProductType,0)+1,FALSE)&gt;0,1,0)</formula>
    </cfRule>
    <cfRule type="expression" dxfId="2370" priority="3345">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8 GB13 GB18:GB1048576">
    <cfRule type="expression" dxfId="2369" priority="3346">
      <formula>IF(LEN(GB4)&gt;0,1,0)</formula>
    </cfRule>
    <cfRule type="expression" dxfId="2368" priority="3347">
      <formula>IF(VLOOKUP($GB$3,requiredAttributePTDMap,MATCH($A4,attributeMapFeedProductType,0)+1,FALSE)&gt;0,1,0)</formula>
    </cfRule>
    <cfRule type="expression" dxfId="2367" priority="3348">
      <formula>IF(VLOOKUP($GB$3,optionalAttributePTDMap,MATCH($A4,attributeMapFeedProductType,0)+1,FALSE)&gt;0,1,0)</formula>
    </cfRule>
    <cfRule type="expression" dxfId="2366" priority="3349">
      <formula>IF(VLOOKUP($GB$3,preferredAttributePTDMap,MATCH($A4,attributeMapFeedProductType,0)+1,FALSE)&gt;0,1,0)</formula>
    </cfRule>
    <cfRule type="expression" dxfId="2365" priority="335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8 GC13 GC18:GC1048576">
    <cfRule type="expression" dxfId="2364" priority="3351">
      <formula>IF(LEN(GC4)&gt;0,1,0)</formula>
    </cfRule>
    <cfRule type="expression" dxfId="2363" priority="3352">
      <formula>IF(VLOOKUP($GC$3,requiredAttributePTDMap,MATCH($A4,attributeMapFeedProductType,0)+1,FALSE)&gt;0,1,0)</formula>
    </cfRule>
    <cfRule type="expression" dxfId="2362" priority="3353">
      <formula>IF(VLOOKUP($GC$3,optionalAttributePTDMap,MATCH($A4,attributeMapFeedProductType,0)+1,FALSE)&gt;0,1,0)</formula>
    </cfRule>
    <cfRule type="expression" dxfId="2361" priority="3354">
      <formula>IF(VLOOKUP($GC$3,preferredAttributePTDMap,MATCH($A4,attributeMapFeedProductType,0)+1,FALSE)&gt;0,1,0)</formula>
    </cfRule>
    <cfRule type="expression" dxfId="2360" priority="3355">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8 GD13 GD18:GD1048576">
    <cfRule type="expression" dxfId="2359" priority="3356">
      <formula>IF(LEN(GD4)&gt;0,1,0)</formula>
    </cfRule>
    <cfRule type="expression" dxfId="2358" priority="3357">
      <formula>IF(VLOOKUP($GD$3,requiredAttributePTDMap,MATCH($A4,attributeMapFeedProductType,0)+1,FALSE)&gt;0,1,0)</formula>
    </cfRule>
    <cfRule type="expression" dxfId="2357" priority="3358">
      <formula>IF(VLOOKUP($GD$3,optionalAttributePTDMap,MATCH($A4,attributeMapFeedProductType,0)+1,FALSE)&gt;0,1,0)</formula>
    </cfRule>
    <cfRule type="expression" dxfId="2356" priority="3359">
      <formula>IF(VLOOKUP($GD$3,preferredAttributePTDMap,MATCH($A4,attributeMapFeedProductType,0)+1,FALSE)&gt;0,1,0)</formula>
    </cfRule>
    <cfRule type="expression" dxfId="2355" priority="336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8 GE13 GE18:GE1048576">
    <cfRule type="expression" dxfId="2354" priority="3361">
      <formula>IF(LEN(GE4)&gt;0,1,0)</formula>
    </cfRule>
    <cfRule type="expression" dxfId="2353" priority="3362">
      <formula>IF(VLOOKUP($GE$3,requiredAttributePTDMap,MATCH($A4,attributeMapFeedProductType,0)+1,FALSE)&gt;0,1,0)</formula>
    </cfRule>
    <cfRule type="expression" dxfId="2352" priority="3363">
      <formula>IF(VLOOKUP($GE$3,optionalAttributePTDMap,MATCH($A4,attributeMapFeedProductType,0)+1,FALSE)&gt;0,1,0)</formula>
    </cfRule>
    <cfRule type="expression" dxfId="2351" priority="3364">
      <formula>IF(VLOOKUP($GE$3,preferredAttributePTDMap,MATCH($A4,attributeMapFeedProductType,0)+1,FALSE)&gt;0,1,0)</formula>
    </cfRule>
    <cfRule type="expression" dxfId="2350" priority="3365">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8 GF13 GF18:GF1048576">
    <cfRule type="expression" dxfId="2349" priority="3366">
      <formula>IF(LEN(GF4)&gt;0,1,0)</formula>
    </cfRule>
    <cfRule type="expression" dxfId="2348" priority="3367">
      <formula>IF(VLOOKUP($GF$3,requiredAttributePTDMap,MATCH($A4,attributeMapFeedProductType,0)+1,FALSE)&gt;0,1,0)</formula>
    </cfRule>
    <cfRule type="expression" dxfId="2347" priority="3368">
      <formula>IF(VLOOKUP($GF$3,optionalAttributePTDMap,MATCH($A4,attributeMapFeedProductType,0)+1,FALSE)&gt;0,1,0)</formula>
    </cfRule>
    <cfRule type="expression" dxfId="2346" priority="3369">
      <formula>IF(VLOOKUP($GF$3,preferredAttributePTDMap,MATCH($A4,attributeMapFeedProductType,0)+1,FALSE)&gt;0,1,0)</formula>
    </cfRule>
    <cfRule type="expression" dxfId="2345" priority="337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8 GG13 GG18:GG1048576">
    <cfRule type="expression" dxfId="2344" priority="3371">
      <formula>IF(LEN(GG4)&gt;0,1,0)</formula>
    </cfRule>
    <cfRule type="expression" dxfId="2343" priority="3372">
      <formula>IF(VLOOKUP($GG$3,requiredAttributePTDMap,MATCH($A4,attributeMapFeedProductType,0)+1,FALSE)&gt;0,1,0)</formula>
    </cfRule>
    <cfRule type="expression" dxfId="2342" priority="3373">
      <formula>IF(VLOOKUP($GG$3,optionalAttributePTDMap,MATCH($A4,attributeMapFeedProductType,0)+1,FALSE)&gt;0,1,0)</formula>
    </cfRule>
    <cfRule type="expression" dxfId="2341" priority="3374">
      <formula>IF(VLOOKUP($GG$3,preferredAttributePTDMap,MATCH($A4,attributeMapFeedProductType,0)+1,FALSE)&gt;0,1,0)</formula>
    </cfRule>
    <cfRule type="expression" dxfId="2340" priority="3375">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8 GH13 GH18:GH1048576">
    <cfRule type="expression" dxfId="2339" priority="3376">
      <formula>IF(LEN(GH4)&gt;0,1,0)</formula>
    </cfRule>
    <cfRule type="expression" dxfId="2338" priority="3377">
      <formula>IF(VLOOKUP($GH$3,requiredAttributePTDMap,MATCH($A4,attributeMapFeedProductType,0)+1,FALSE)&gt;0,1,0)</formula>
    </cfRule>
    <cfRule type="expression" dxfId="2337" priority="3378">
      <formula>IF(VLOOKUP($GH$3,optionalAttributePTDMap,MATCH($A4,attributeMapFeedProductType,0)+1,FALSE)&gt;0,1,0)</formula>
    </cfRule>
    <cfRule type="expression" dxfId="2336" priority="3379">
      <formula>IF(VLOOKUP($GH$3,preferredAttributePTDMap,MATCH($A4,attributeMapFeedProductType,0)+1,FALSE)&gt;0,1,0)</formula>
    </cfRule>
    <cfRule type="expression" dxfId="2335" priority="338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8 GI13 GI18:GI1048576">
    <cfRule type="expression" dxfId="2334" priority="3381">
      <formula>IF(LEN(GI4)&gt;0,1,0)</formula>
    </cfRule>
    <cfRule type="expression" dxfId="2333" priority="3382">
      <formula>IF(VLOOKUP($GI$3,requiredAttributePTDMap,MATCH($A4,attributeMapFeedProductType,0)+1,FALSE)&gt;0,1,0)</formula>
    </cfRule>
    <cfRule type="expression" dxfId="2332" priority="3383">
      <formula>IF(VLOOKUP($GI$3,optionalAttributePTDMap,MATCH($A4,attributeMapFeedProductType,0)+1,FALSE)&gt;0,1,0)</formula>
    </cfRule>
    <cfRule type="expression" dxfId="2331" priority="3384">
      <formula>IF(VLOOKUP($GI$3,preferredAttributePTDMap,MATCH($A4,attributeMapFeedProductType,0)+1,FALSE)&gt;0,1,0)</formula>
    </cfRule>
    <cfRule type="expression" dxfId="2330" priority="3385">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8 GJ13 GJ18:GJ1048576">
    <cfRule type="expression" dxfId="2329" priority="3386">
      <formula>IF(LEN(GJ4)&gt;0,1,0)</formula>
    </cfRule>
    <cfRule type="expression" dxfId="2328" priority="3387">
      <formula>IF(VLOOKUP($GJ$3,requiredAttributePTDMap,MATCH($A4,attributeMapFeedProductType,0)+1,FALSE)&gt;0,1,0)</formula>
    </cfRule>
    <cfRule type="expression" dxfId="2327" priority="3388">
      <formula>IF(VLOOKUP($GJ$3,optionalAttributePTDMap,MATCH($A4,attributeMapFeedProductType,0)+1,FALSE)&gt;0,1,0)</formula>
    </cfRule>
    <cfRule type="expression" dxfId="2326" priority="3389">
      <formula>IF(VLOOKUP($GJ$3,preferredAttributePTDMap,MATCH($A4,attributeMapFeedProductType,0)+1,FALSE)&gt;0,1,0)</formula>
    </cfRule>
    <cfRule type="expression" dxfId="2325" priority="339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8 GK13 GK18:GK1048576">
    <cfRule type="expression" dxfId="2324" priority="3391">
      <formula>IF(LEN(GK4)&gt;0,1,0)</formula>
    </cfRule>
    <cfRule type="expression" dxfId="2323" priority="3392">
      <formula>IF(VLOOKUP($GK$3,requiredAttributePTDMap,MATCH($A4,attributeMapFeedProductType,0)+1,FALSE)&gt;0,1,0)</formula>
    </cfRule>
    <cfRule type="expression" dxfId="2322" priority="3393">
      <formula>IF(VLOOKUP($GK$3,optionalAttributePTDMap,MATCH($A4,attributeMapFeedProductType,0)+1,FALSE)&gt;0,1,0)</formula>
    </cfRule>
    <cfRule type="expression" dxfId="2321" priority="3394">
      <formula>IF(VLOOKUP($GK$3,preferredAttributePTDMap,MATCH($A4,attributeMapFeedProductType,0)+1,FALSE)&gt;0,1,0)</formula>
    </cfRule>
    <cfRule type="expression" dxfId="2320" priority="3395">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8 GL13 GL18:GL1048576">
    <cfRule type="expression" dxfId="2319" priority="3396">
      <formula>IF(LEN(GL4)&gt;0,1,0)</formula>
    </cfRule>
    <cfRule type="expression" dxfId="2318" priority="3397">
      <formula>IF(VLOOKUP($GL$3,requiredAttributePTDMap,MATCH($A4,attributeMapFeedProductType,0)+1,FALSE)&gt;0,1,0)</formula>
    </cfRule>
    <cfRule type="expression" dxfId="2317" priority="3398">
      <formula>IF(VLOOKUP($GL$3,optionalAttributePTDMap,MATCH($A4,attributeMapFeedProductType,0)+1,FALSE)&gt;0,1,0)</formula>
    </cfRule>
    <cfRule type="expression" dxfId="2316" priority="3399">
      <formula>IF(VLOOKUP($GL$3,preferredAttributePTDMap,MATCH($A4,attributeMapFeedProductType,0)+1,FALSE)&gt;0,1,0)</formula>
    </cfRule>
    <cfRule type="expression" dxfId="2315" priority="340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8 GM13 GM18:GM1048576">
    <cfRule type="expression" dxfId="2314" priority="3401">
      <formula>IF(LEN(GM4)&gt;0,1,0)</formula>
    </cfRule>
    <cfRule type="expression" dxfId="2313" priority="3402">
      <formula>IF(VLOOKUP($GM$3,requiredAttributePTDMap,MATCH($A4,attributeMapFeedProductType,0)+1,FALSE)&gt;0,1,0)</formula>
    </cfRule>
    <cfRule type="expression" dxfId="2312" priority="3403">
      <formula>IF(VLOOKUP($GM$3,optionalAttributePTDMap,MATCH($A4,attributeMapFeedProductType,0)+1,FALSE)&gt;0,1,0)</formula>
    </cfRule>
    <cfRule type="expression" dxfId="2311" priority="3404">
      <formula>IF(VLOOKUP($GM$3,preferredAttributePTDMap,MATCH($A4,attributeMapFeedProductType,0)+1,FALSE)&gt;0,1,0)</formula>
    </cfRule>
    <cfRule type="expression" dxfId="2310" priority="3405">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8 GN13 GN18:GN1048576">
    <cfRule type="expression" dxfId="2309" priority="3406">
      <formula>IF(LEN(GN4)&gt;0,1,0)</formula>
    </cfRule>
    <cfRule type="expression" dxfId="2308" priority="3407">
      <formula>IF(VLOOKUP($GN$3,requiredAttributePTDMap,MATCH($A4,attributeMapFeedProductType,0)+1,FALSE)&gt;0,1,0)</formula>
    </cfRule>
    <cfRule type="expression" dxfId="2307" priority="3408">
      <formula>IF(VLOOKUP($GN$3,optionalAttributePTDMap,MATCH($A4,attributeMapFeedProductType,0)+1,FALSE)&gt;0,1,0)</formula>
    </cfRule>
    <cfRule type="expression" dxfId="2306" priority="3409">
      <formula>IF(VLOOKUP($GN$3,preferredAttributePTDMap,MATCH($A4,attributeMapFeedProductType,0)+1,FALSE)&gt;0,1,0)</formula>
    </cfRule>
    <cfRule type="expression" dxfId="2305" priority="341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8 GO13 GO18:GO1048576">
    <cfRule type="expression" dxfId="2304" priority="3411">
      <formula>IF(LEN(GO4)&gt;0,1,0)</formula>
    </cfRule>
    <cfRule type="expression" dxfId="2303" priority="3412">
      <formula>IF(VLOOKUP($GO$3,requiredAttributePTDMap,MATCH($A4,attributeMapFeedProductType,0)+1,FALSE)&gt;0,1,0)</formula>
    </cfRule>
    <cfRule type="expression" dxfId="2302" priority="3413">
      <formula>IF(VLOOKUP($GO$3,optionalAttributePTDMap,MATCH($A4,attributeMapFeedProductType,0)+1,FALSE)&gt;0,1,0)</formula>
    </cfRule>
    <cfRule type="expression" dxfId="2301" priority="3414">
      <formula>IF(VLOOKUP($GO$3,preferredAttributePTDMap,MATCH($A4,attributeMapFeedProductType,0)+1,FALSE)&gt;0,1,0)</formula>
    </cfRule>
    <cfRule type="expression" dxfId="2300" priority="3415">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8 GP13 GP18:GP1048576">
    <cfRule type="expression" dxfId="2299" priority="3416">
      <formula>IF(LEN(GP4)&gt;0,1,0)</formula>
    </cfRule>
    <cfRule type="expression" dxfId="2298" priority="3417">
      <formula>IF(VLOOKUP($GP$3,requiredAttributePTDMap,MATCH($A4,attributeMapFeedProductType,0)+1,FALSE)&gt;0,1,0)</formula>
    </cfRule>
    <cfRule type="expression" dxfId="2297" priority="3418">
      <formula>IF(VLOOKUP($GP$3,optionalAttributePTDMap,MATCH($A4,attributeMapFeedProductType,0)+1,FALSE)&gt;0,1,0)</formula>
    </cfRule>
    <cfRule type="expression" dxfId="2296" priority="3419">
      <formula>IF(VLOOKUP($GP$3,preferredAttributePTDMap,MATCH($A4,attributeMapFeedProductType,0)+1,FALSE)&gt;0,1,0)</formula>
    </cfRule>
    <cfRule type="expression" dxfId="2295" priority="342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8 GQ13 GQ18:GQ1048576">
    <cfRule type="expression" dxfId="2294" priority="3421">
      <formula>IF(LEN(GQ4)&gt;0,1,0)</formula>
    </cfRule>
    <cfRule type="expression" dxfId="2293" priority="3422">
      <formula>IF(VLOOKUP($GQ$3,requiredAttributePTDMap,MATCH($A4,attributeMapFeedProductType,0)+1,FALSE)&gt;0,1,0)</formula>
    </cfRule>
    <cfRule type="expression" dxfId="2292" priority="3423">
      <formula>IF(VLOOKUP($GQ$3,optionalAttributePTDMap,MATCH($A4,attributeMapFeedProductType,0)+1,FALSE)&gt;0,1,0)</formula>
    </cfRule>
    <cfRule type="expression" dxfId="2291" priority="3424">
      <formula>IF(VLOOKUP($GQ$3,preferredAttributePTDMap,MATCH($A4,attributeMapFeedProductType,0)+1,FALSE)&gt;0,1,0)</formula>
    </cfRule>
    <cfRule type="expression" dxfId="2290" priority="3425">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8 GR13 GR18:GR1048576">
    <cfRule type="expression" dxfId="2289" priority="3426">
      <formula>IF(LEN(GR4)&gt;0,1,0)</formula>
    </cfRule>
    <cfRule type="expression" dxfId="2288" priority="3427">
      <formula>IF(VLOOKUP($GR$3,requiredAttributePTDMap,MATCH($A4,attributeMapFeedProductType,0)+1,FALSE)&gt;0,1,0)</formula>
    </cfRule>
    <cfRule type="expression" dxfId="2287" priority="3428">
      <formula>IF(VLOOKUP($GR$3,optionalAttributePTDMap,MATCH($A4,attributeMapFeedProductType,0)+1,FALSE)&gt;0,1,0)</formula>
    </cfRule>
    <cfRule type="expression" dxfId="2286" priority="3429">
      <formula>IF(VLOOKUP($GR$3,preferredAttributePTDMap,MATCH($A4,attributeMapFeedProductType,0)+1,FALSE)&gt;0,1,0)</formula>
    </cfRule>
    <cfRule type="expression" dxfId="2285" priority="343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8 GS13 GS18:GS1048576">
    <cfRule type="expression" dxfId="2284" priority="3431">
      <formula>IF(LEN(GS4)&gt;0,1,0)</formula>
    </cfRule>
    <cfRule type="expression" dxfId="2283" priority="3432">
      <formula>IF(VLOOKUP($GS$3,requiredAttributePTDMap,MATCH($A4,attributeMapFeedProductType,0)+1,FALSE)&gt;0,1,0)</formula>
    </cfRule>
    <cfRule type="expression" dxfId="2282" priority="3433">
      <formula>IF(VLOOKUP($GS$3,optionalAttributePTDMap,MATCH($A4,attributeMapFeedProductType,0)+1,FALSE)&gt;0,1,0)</formula>
    </cfRule>
    <cfRule type="expression" dxfId="2281" priority="3434">
      <formula>IF(VLOOKUP($GS$3,preferredAttributePTDMap,MATCH($A4,attributeMapFeedProductType,0)+1,FALSE)&gt;0,1,0)</formula>
    </cfRule>
    <cfRule type="expression" dxfId="2280" priority="3435">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8 GT13 GT18:GT1048576">
    <cfRule type="expression" dxfId="2279" priority="3436">
      <formula>IF(LEN(GT4)&gt;0,1,0)</formula>
    </cfRule>
    <cfRule type="expression" dxfId="2278" priority="3437">
      <formula>IF(VLOOKUP($GT$3,requiredAttributePTDMap,MATCH($A4,attributeMapFeedProductType,0)+1,FALSE)&gt;0,1,0)</formula>
    </cfRule>
    <cfRule type="expression" dxfId="2277" priority="3438">
      <formula>IF(VLOOKUP($GT$3,optionalAttributePTDMap,MATCH($A4,attributeMapFeedProductType,0)+1,FALSE)&gt;0,1,0)</formula>
    </cfRule>
    <cfRule type="expression" dxfId="2276" priority="3439">
      <formula>IF(VLOOKUP($GT$3,preferredAttributePTDMap,MATCH($A4,attributeMapFeedProductType,0)+1,FALSE)&gt;0,1,0)</formula>
    </cfRule>
    <cfRule type="expression" dxfId="2275" priority="344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8 GU13 GU18:GU1048576">
    <cfRule type="expression" dxfId="2274" priority="3441">
      <formula>IF(LEN(GU4)&gt;0,1,0)</formula>
    </cfRule>
    <cfRule type="expression" dxfId="2273" priority="3442">
      <formula>IF(VLOOKUP($GU$3,requiredAttributePTDMap,MATCH($A4,attributeMapFeedProductType,0)+1,FALSE)&gt;0,1,0)</formula>
    </cfRule>
    <cfRule type="expression" dxfId="2272" priority="3443">
      <formula>IF(VLOOKUP($GU$3,optionalAttributePTDMap,MATCH($A4,attributeMapFeedProductType,0)+1,FALSE)&gt;0,1,0)</formula>
    </cfRule>
    <cfRule type="expression" dxfId="2271" priority="3444">
      <formula>IF(VLOOKUP($GU$3,preferredAttributePTDMap,MATCH($A4,attributeMapFeedProductType,0)+1,FALSE)&gt;0,1,0)</formula>
    </cfRule>
    <cfRule type="expression" dxfId="2270" priority="3445">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8 GV13 GV18:GV1048576">
    <cfRule type="expression" dxfId="2269" priority="3446">
      <formula>IF(LEN(GV4)&gt;0,1,0)</formula>
    </cfRule>
    <cfRule type="expression" dxfId="2268" priority="3447">
      <formula>IF(VLOOKUP($GV$3,requiredAttributePTDMap,MATCH($A4,attributeMapFeedProductType,0)+1,FALSE)&gt;0,1,0)</formula>
    </cfRule>
    <cfRule type="expression" dxfId="2267" priority="3448">
      <formula>IF(VLOOKUP($GV$3,optionalAttributePTDMap,MATCH($A4,attributeMapFeedProductType,0)+1,FALSE)&gt;0,1,0)</formula>
    </cfRule>
    <cfRule type="expression" dxfId="2266" priority="3449">
      <formula>IF(VLOOKUP($GV$3,preferredAttributePTDMap,MATCH($A4,attributeMapFeedProductType,0)+1,FALSE)&gt;0,1,0)</formula>
    </cfRule>
    <cfRule type="expression" dxfId="2265" priority="345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8 GW13 GW18:GW1048576">
    <cfRule type="expression" dxfId="2264" priority="3451">
      <formula>IF(LEN(GW4)&gt;0,1,0)</formula>
    </cfRule>
    <cfRule type="expression" dxfId="2263" priority="3452">
      <formula>IF(VLOOKUP($GW$3,requiredAttributePTDMap,MATCH($A4,attributeMapFeedProductType,0)+1,FALSE)&gt;0,1,0)</formula>
    </cfRule>
    <cfRule type="expression" dxfId="2262" priority="3453">
      <formula>IF(VLOOKUP($GW$3,optionalAttributePTDMap,MATCH($A4,attributeMapFeedProductType,0)+1,FALSE)&gt;0,1,0)</formula>
    </cfRule>
    <cfRule type="expression" dxfId="2261" priority="3454">
      <formula>IF(VLOOKUP($GW$3,preferredAttributePTDMap,MATCH($A4,attributeMapFeedProductType,0)+1,FALSE)&gt;0,1,0)</formula>
    </cfRule>
    <cfRule type="expression" dxfId="2260" priority="3455">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E4">
    <cfRule type="expression" dxfId="2259" priority="2351">
      <formula>IF(LEN(E4)&gt;0,1,0)</formula>
    </cfRule>
    <cfRule type="expression" dxfId="2258" priority="2352">
      <formula>IF(VLOOKUP($C$3,requiredAttributePTDMap,MATCH($A4,attributeMapFeedProductType,0)+1,FALSE)&gt;0,1,0)</formula>
    </cfRule>
    <cfRule type="expression" dxfId="2257" priority="2353">
      <formula>IF(VLOOKUP($C$3,optionalAttributePTDMap,MATCH($A4,attributeMapFeedProductType,0)+1,FALSE)&gt;0,1,0)</formula>
    </cfRule>
    <cfRule type="expression" dxfId="2256" priority="2354">
      <formula>IF(VLOOKUP($C$3,preferredAttributePTDMap,MATCH($A4,attributeMapFeedProductType,0)+1,FALSE)&gt;0,1,0)</formula>
    </cfRule>
    <cfRule type="expression" dxfId="2255" priority="235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6">
    <cfRule type="expression" dxfId="2254" priority="2346">
      <formula>IF(LEN(E6)&gt;0,1,0)</formula>
    </cfRule>
    <cfRule type="expression" dxfId="2253" priority="2347">
      <formula>IF(VLOOKUP($C$3,requiredAttributePTDMap,MATCH($A6,attributeMapFeedProductType,0)+1,FALSE)&gt;0,1,0)</formula>
    </cfRule>
    <cfRule type="expression" dxfId="2252" priority="2348">
      <formula>IF(VLOOKUP($C$3,optionalAttributePTDMap,MATCH($A6,attributeMapFeedProductType,0)+1,FALSE)&gt;0,1,0)</formula>
    </cfRule>
    <cfRule type="expression" dxfId="2251" priority="2349">
      <formula>IF(VLOOKUP($C$3,preferredAttributePTDMap,MATCH($A6,attributeMapFeedProductType,0)+1,FALSE)&gt;0,1,0)</formula>
    </cfRule>
    <cfRule type="expression" dxfId="2250" priority="2350">
      <formula>AND(IF(IFERROR(VLOOKUP($C$3,requiredAttributePTDMap,MATCH($A6,attributeMapFeedProductType,0)+1,FALSE),0)&gt;0,0,1),IF(IFERROR(VLOOKUP($C$3,optionalAttributePTDMap,MATCH($A6,attributeMapFeedProductType,0)+1,FALSE),0)&gt;0,0,1),IF(IFERROR(VLOOKUP($C$3,preferredAttributePTDMap,MATCH($A6,attributeMapFeedProductType,0)+1,FALSE),0)&gt;0,0,1),IF(IFERROR(MATCH($A6,attributeMapFeedProductType,0),0)&gt;0,1,0))</formula>
    </cfRule>
  </conditionalFormatting>
  <conditionalFormatting sqref="E5">
    <cfRule type="expression" dxfId="2249" priority="2341">
      <formula>IF(LEN(E5)&gt;0,1,0)</formula>
    </cfRule>
    <cfRule type="expression" dxfId="2248" priority="2342">
      <formula>IF(VLOOKUP($C$3,requiredAttributePTDMap,MATCH($A5,attributeMapFeedProductType,0)+1,FALSE)&gt;0,1,0)</formula>
    </cfRule>
    <cfRule type="expression" dxfId="2247" priority="2343">
      <formula>IF(VLOOKUP($C$3,optionalAttributePTDMap,MATCH($A5,attributeMapFeedProductType,0)+1,FALSE)&gt;0,1,0)</formula>
    </cfRule>
    <cfRule type="expression" dxfId="2246" priority="2344">
      <formula>IF(VLOOKUP($C$3,preferredAttributePTDMap,MATCH($A5,attributeMapFeedProductType,0)+1,FALSE)&gt;0,1,0)</formula>
    </cfRule>
    <cfRule type="expression" dxfId="2245" priority="2345">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E7">
    <cfRule type="expression" dxfId="2244" priority="2336">
      <formula>IF(LEN(E7)&gt;0,1,0)</formula>
    </cfRule>
    <cfRule type="expression" dxfId="2243" priority="2337">
      <formula>IF(VLOOKUP($C$3,requiredAttributePTDMap,MATCH($A7,attributeMapFeedProductType,0)+1,FALSE)&gt;0,1,0)</formula>
    </cfRule>
    <cfRule type="expression" dxfId="2242" priority="2338">
      <formula>IF(VLOOKUP($C$3,optionalAttributePTDMap,MATCH($A7,attributeMapFeedProductType,0)+1,FALSE)&gt;0,1,0)</formula>
    </cfRule>
    <cfRule type="expression" dxfId="2241" priority="2339">
      <formula>IF(VLOOKUP($C$3,preferredAttributePTDMap,MATCH($A7,attributeMapFeedProductType,0)+1,FALSE)&gt;0,1,0)</formula>
    </cfRule>
    <cfRule type="expression" dxfId="2240" priority="2340">
      <formula>AND(IF(IFERROR(VLOOKUP($C$3,requiredAttributePTDMap,MATCH($A7,attributeMapFeedProductType,0)+1,FALSE),0)&gt;0,0,1),IF(IFERROR(VLOOKUP($C$3,optionalAttributePTDMap,MATCH($A7,attributeMapFeedProductType,0)+1,FALSE),0)&gt;0,0,1),IF(IFERROR(VLOOKUP($C$3,preferredAttributePTDMap,MATCH($A7,attributeMapFeedProductType,0)+1,FALSE),0)&gt;0,0,1),IF(IFERROR(MATCH($A7,attributeMapFeedProductType,0),0)&gt;0,1,0))</formula>
    </cfRule>
  </conditionalFormatting>
  <conditionalFormatting sqref="U4:U7">
    <cfRule type="expression" dxfId="2239" priority="2266">
      <formula>IF(LEN(U4)&gt;0,1,0)</formula>
    </cfRule>
    <cfRule type="expression" dxfId="2238" priority="2267">
      <formula>IF(VLOOKUP($B$3,requiredAttributePTDMap,MATCH($A4,attributeMapFeedProductType,0)+1,FALSE)&gt;0,1,0)</formula>
    </cfRule>
    <cfRule type="expression" dxfId="2237" priority="2268">
      <formula>IF(VLOOKUP($B$3,optionalAttributePTDMap,MATCH($A4,attributeMapFeedProductType,0)+1,FALSE)&gt;0,1,0)</formula>
    </cfRule>
    <cfRule type="expression" dxfId="2236" priority="2269">
      <formula>IF(VLOOKUP($B$3,preferredAttributePTDMap,MATCH($A4,attributeMapFeedProductType,0)+1,FALSE)&gt;0,1,0)</formula>
    </cfRule>
    <cfRule type="expression" dxfId="2235" priority="227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AJ4:AJ7">
    <cfRule type="expression" dxfId="2234" priority="2261">
      <formula>IF(LEN(AJ4)&gt;0,1,0)</formula>
    </cfRule>
    <cfRule type="expression" dxfId="2233" priority="2262">
      <formula>IF(VLOOKUP($D$3,requiredAttributePTDMap,MATCH($A4,attributeMapFeedProductType,0)+1,FALSE)&gt;0,1,0)</formula>
    </cfRule>
    <cfRule type="expression" dxfId="2232" priority="2263">
      <formula>IF(VLOOKUP($D$3,optionalAttributePTDMap,MATCH($A4,attributeMapFeedProductType,0)+1,FALSE)&gt;0,1,0)</formula>
    </cfRule>
    <cfRule type="expression" dxfId="2231" priority="2264">
      <formula>IF(VLOOKUP($D$3,preferredAttributePTDMap,MATCH($A4,attributeMapFeedProductType,0)+1,FALSE)&gt;0,1,0)</formula>
    </cfRule>
    <cfRule type="expression" dxfId="2230" priority="226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CH9:CH12">
    <cfRule type="expression" dxfId="2229" priority="1176">
      <formula>IF($T9&lt;&gt;"Parent",0,1)</formula>
    </cfRule>
    <cfRule type="expression" dxfId="2228" priority="1582">
      <formula>IF(LEN(CH9)&gt;0,1,0)</formula>
    </cfRule>
    <cfRule type="expression" dxfId="2227" priority="1583">
      <formula>IF(VLOOKUP($CH$3,requiredAttributePTDMap,MATCH($A9,attributeMapFeedProductType,0)+1,FALSE)&gt;0,1,0)</formula>
    </cfRule>
    <cfRule type="expression" dxfId="2226" priority="1584">
      <formula>IF(VLOOKUP($CH$3,optionalAttributePTDMap,MATCH($A9,attributeMapFeedProductType,0)+1,FALSE)&gt;0,1,0)</formula>
    </cfRule>
    <cfRule type="expression" dxfId="2225" priority="1585">
      <formula>IF(VLOOKUP($CH$3,preferredAttributePTDMap,MATCH($A9,attributeMapFeedProductType,0)+1,FALSE)&gt;0,1,0)</formula>
    </cfRule>
    <cfRule type="expression" dxfId="2224" priority="1586">
      <formula>AND(IF(IFERROR(VLOOKUP($CH$3,requiredAttributePTDMap,MATCH($A9,attributeMapFeedProductType,0)+1,FALSE),0)&gt;0,0,1),IF(IFERROR(VLOOKUP($CH$3,optionalAttributePTDMap,MATCH($A9,attributeMapFeedProductType,0)+1,FALSE),0)&gt;0,0,1),IF(IFERROR(VLOOKUP($CH$3,preferredAttributePTDMap,MATCH($A9,attributeMapFeedProductType,0)+1,FALSE),0)&gt;0,0,1),IF(IFERROR(MATCH($A9,attributeMapFeedProductType,0),0)&gt;0,1,0))</formula>
    </cfRule>
  </conditionalFormatting>
  <conditionalFormatting sqref="B9:B12">
    <cfRule type="expression" dxfId="2223" priority="1177">
      <formula>IF(LEN(B9)&gt;0,1,0)</formula>
    </cfRule>
    <cfRule type="expression" dxfId="2222" priority="1178">
      <formula>IF(VLOOKUP($B$3,requiredAttributePTDMap,MATCH($A9,attributeMapFeedProductType,0)+1,FALSE)&gt;0,1,0)</formula>
    </cfRule>
    <cfRule type="expression" dxfId="2221" priority="1179">
      <formula>IF(VLOOKUP($B$3,optionalAttributePTDMap,MATCH($A9,attributeMapFeedProductType,0)+1,FALSE)&gt;0,1,0)</formula>
    </cfRule>
    <cfRule type="expression" dxfId="2220" priority="1180">
      <formula>IF(VLOOKUP($B$3,preferredAttributePTDMap,MATCH($A9,attributeMapFeedProductType,0)+1,FALSE)&gt;0,1,0)</formula>
    </cfRule>
    <cfRule type="expression" dxfId="2219" priority="118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C9:C12">
    <cfRule type="expression" dxfId="2218" priority="1182">
      <formula>IF(LEN(C9)&gt;0,1,0)</formula>
    </cfRule>
    <cfRule type="expression" dxfId="2217" priority="1183">
      <formula>IF(VLOOKUP($C$3,requiredAttributePTDMap,MATCH($A9,attributeMapFeedProductType,0)+1,FALSE)&gt;0,1,0)</formula>
    </cfRule>
    <cfRule type="expression" dxfId="2216" priority="1184">
      <formula>IF(VLOOKUP($C$3,optionalAttributePTDMap,MATCH($A9,attributeMapFeedProductType,0)+1,FALSE)&gt;0,1,0)</formula>
    </cfRule>
    <cfRule type="expression" dxfId="2215" priority="1185">
      <formula>IF(VLOOKUP($C$3,preferredAttributePTDMap,MATCH($A9,attributeMapFeedProductType,0)+1,FALSE)&gt;0,1,0)</formula>
    </cfRule>
    <cfRule type="expression" dxfId="2214" priority="1186">
      <formula>AND(IF(IFERROR(VLOOKUP($C$3,requiredAttributePTDMap,MATCH($A9,attributeMapFeedProductType,0)+1,FALSE),0)&gt;0,0,1),IF(IFERROR(VLOOKUP($C$3,optionalAttributePTDMap,MATCH($A9,attributeMapFeedProductType,0)+1,FALSE),0)&gt;0,0,1),IF(IFERROR(VLOOKUP($C$3,preferredAttributePTDMap,MATCH($A9,attributeMapFeedProductType,0)+1,FALSE),0)&gt;0,0,1),IF(IFERROR(MATCH($A9,attributeMapFeedProductType,0),0)&gt;0,1,0))</formula>
    </cfRule>
  </conditionalFormatting>
  <conditionalFormatting sqref="D9:D12">
    <cfRule type="expression" dxfId="2213" priority="1187">
      <formula>IF(LEN(D9)&gt;0,1,0)</formula>
    </cfRule>
    <cfRule type="expression" dxfId="2212" priority="1188">
      <formula>IF(VLOOKUP($D$3,requiredAttributePTDMap,MATCH($A9,attributeMapFeedProductType,0)+1,FALSE)&gt;0,1,0)</formula>
    </cfRule>
    <cfRule type="expression" dxfId="2211" priority="1189">
      <formula>IF(VLOOKUP($D$3,optionalAttributePTDMap,MATCH($A9,attributeMapFeedProductType,0)+1,FALSE)&gt;0,1,0)</formula>
    </cfRule>
    <cfRule type="expression" dxfId="2210" priority="1190">
      <formula>IF(VLOOKUP($D$3,preferredAttributePTDMap,MATCH($A9,attributeMapFeedProductType,0)+1,FALSE)&gt;0,1,0)</formula>
    </cfRule>
    <cfRule type="expression" dxfId="2209" priority="1191">
      <formula>AND(IF(IFERROR(VLOOKUP($D$3,requiredAttributePTDMap,MATCH($A9,attributeMapFeedProductType,0)+1,FALSE),0)&gt;0,0,1),IF(IFERROR(VLOOKUP($D$3,optionalAttributePTDMap,MATCH($A9,attributeMapFeedProductType,0)+1,FALSE),0)&gt;0,0,1),IF(IFERROR(VLOOKUP($D$3,preferredAttributePTDMap,MATCH($A9,attributeMapFeedProductType,0)+1,FALSE),0)&gt;0,0,1),IF(IFERROR(MATCH($A9,attributeMapFeedProductType,0),0)&gt;0,1,0))</formula>
    </cfRule>
  </conditionalFormatting>
  <conditionalFormatting sqref="F9:F12">
    <cfRule type="expression" dxfId="2208" priority="1192">
      <formula>IF(LEN(F9)&gt;0,1,0)</formula>
    </cfRule>
    <cfRule type="expression" dxfId="2207" priority="1193">
      <formula>IF(VLOOKUP($F$3,requiredAttributePTDMap,MATCH($A9,attributeMapFeedProductType,0)+1,FALSE)&gt;0,1,0)</formula>
    </cfRule>
    <cfRule type="expression" dxfId="2206" priority="1194">
      <formula>IF(VLOOKUP($F$3,optionalAttributePTDMap,MATCH($A9,attributeMapFeedProductType,0)+1,FALSE)&gt;0,1,0)</formula>
    </cfRule>
    <cfRule type="expression" dxfId="2205" priority="1195">
      <formula>IF(VLOOKUP($F$3,preferredAttributePTDMap,MATCH($A9,attributeMapFeedProductType,0)+1,FALSE)&gt;0,1,0)</formula>
    </cfRule>
    <cfRule type="expression" dxfId="2204" priority="1196">
      <formula>AND(IF(IFERROR(VLOOKUP($F$3,requiredAttributePTDMap,MATCH($A9,attributeMapFeedProductType,0)+1,FALSE),0)&gt;0,0,1),IF(IFERROR(VLOOKUP($F$3,optionalAttributePTDMap,MATCH($A9,attributeMapFeedProductType,0)+1,FALSE),0)&gt;0,0,1),IF(IFERROR(VLOOKUP($F$3,preferredAttributePTDMap,MATCH($A9,attributeMapFeedProductType,0)+1,FALSE),0)&gt;0,0,1),IF(IFERROR(MATCH($A9,attributeMapFeedProductType,0),0)&gt;0,1,0))</formula>
    </cfRule>
  </conditionalFormatting>
  <conditionalFormatting sqref="G9:G12">
    <cfRule type="expression" dxfId="2203" priority="1197">
      <formula>IF(LEN(G9)&gt;0,1,0)</formula>
    </cfRule>
    <cfRule type="expression" dxfId="2202" priority="1198">
      <formula>IF(VLOOKUP($G$3,requiredAttributePTDMap,MATCH($A9,attributeMapFeedProductType,0)+1,FALSE)&gt;0,1,0)</formula>
    </cfRule>
    <cfRule type="expression" dxfId="2201" priority="1199">
      <formula>IF(VLOOKUP($G$3,optionalAttributePTDMap,MATCH($A9,attributeMapFeedProductType,0)+1,FALSE)&gt;0,1,0)</formula>
    </cfRule>
    <cfRule type="expression" dxfId="2200" priority="1200">
      <formula>IF(VLOOKUP($G$3,preferredAttributePTDMap,MATCH($A9,attributeMapFeedProductType,0)+1,FALSE)&gt;0,1,0)</formula>
    </cfRule>
    <cfRule type="expression" dxfId="2199" priority="1201">
      <formula>AND(IF(IFERROR(VLOOKUP($G$3,requiredAttributePTDMap,MATCH($A9,attributeMapFeedProductType,0)+1,FALSE),0)&gt;0,0,1),IF(IFERROR(VLOOKUP($G$3,optionalAttributePTDMap,MATCH($A9,attributeMapFeedProductType,0)+1,FALSE),0)&gt;0,0,1),IF(IFERROR(VLOOKUP($G$3,preferredAttributePTDMap,MATCH($A9,attributeMapFeedProductType,0)+1,FALSE),0)&gt;0,0,1),IF(IFERROR(MATCH($A9,attributeMapFeedProductType,0),0)&gt;0,1,0))</formula>
    </cfRule>
  </conditionalFormatting>
  <conditionalFormatting sqref="H9:H12">
    <cfRule type="expression" dxfId="2198" priority="1202">
      <formula>IF(LEN(H9)&gt;0,1,0)</formula>
    </cfRule>
    <cfRule type="expression" dxfId="2197" priority="1203">
      <formula>IF(VLOOKUP($H$3,requiredAttributePTDMap,MATCH($A9,attributeMapFeedProductType,0)+1,FALSE)&gt;0,1,0)</formula>
    </cfRule>
    <cfRule type="expression" dxfId="2196" priority="1204">
      <formula>IF(VLOOKUP($H$3,optionalAttributePTDMap,MATCH($A9,attributeMapFeedProductType,0)+1,FALSE)&gt;0,1,0)</formula>
    </cfRule>
    <cfRule type="expression" dxfId="2195" priority="1205">
      <formula>IF(VLOOKUP($H$3,preferredAttributePTDMap,MATCH($A9,attributeMapFeedProductType,0)+1,FALSE)&gt;0,1,0)</formula>
    </cfRule>
    <cfRule type="expression" dxfId="2194" priority="1206">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I9:I12">
    <cfRule type="expression" dxfId="2193" priority="1207">
      <formula>IF(LEN(I9)&gt;0,1,0)</formula>
    </cfRule>
    <cfRule type="expression" dxfId="2192" priority="1208">
      <formula>IF(VLOOKUP($I$3,requiredAttributePTDMap,MATCH($A9,attributeMapFeedProductType,0)+1,FALSE)&gt;0,1,0)</formula>
    </cfRule>
    <cfRule type="expression" dxfId="2191" priority="1209">
      <formula>IF(VLOOKUP($I$3,optionalAttributePTDMap,MATCH($A9,attributeMapFeedProductType,0)+1,FALSE)&gt;0,1,0)</formula>
    </cfRule>
    <cfRule type="expression" dxfId="2190" priority="1210">
      <formula>IF(VLOOKUP($I$3,preferredAttributePTDMap,MATCH($A9,attributeMapFeedProductType,0)+1,FALSE)&gt;0,1,0)</formula>
    </cfRule>
    <cfRule type="expression" dxfId="2189" priority="1211">
      <formula>AND(IF(IFERROR(VLOOKUP($I$3,requiredAttributePTDMap,MATCH($A9,attributeMapFeedProductType,0)+1,FALSE),0)&gt;0,0,1),IF(IFERROR(VLOOKUP($I$3,optionalAttributePTDMap,MATCH($A9,attributeMapFeedProductType,0)+1,FALSE),0)&gt;0,0,1),IF(IFERROR(VLOOKUP($I$3,preferredAttributePTDMap,MATCH($A9,attributeMapFeedProductType,0)+1,FALSE),0)&gt;0,0,1),IF(IFERROR(MATCH($A9,attributeMapFeedProductType,0),0)&gt;0,1,0))</formula>
    </cfRule>
  </conditionalFormatting>
  <conditionalFormatting sqref="J9:J12">
    <cfRule type="expression" dxfId="2188" priority="1212">
      <formula>IF(LEN(J9)&gt;0,1,0)</formula>
    </cfRule>
    <cfRule type="expression" dxfId="2187" priority="1213">
      <formula>IF(VLOOKUP($J$3,requiredAttributePTDMap,MATCH($A9,attributeMapFeedProductType,0)+1,FALSE)&gt;0,1,0)</formula>
    </cfRule>
    <cfRule type="expression" dxfId="2186" priority="1214">
      <formula>IF(VLOOKUP($J$3,optionalAttributePTDMap,MATCH($A9,attributeMapFeedProductType,0)+1,FALSE)&gt;0,1,0)</formula>
    </cfRule>
    <cfRule type="expression" dxfId="2185" priority="1215">
      <formula>IF(VLOOKUP($J$3,preferredAttributePTDMap,MATCH($A9,attributeMapFeedProductType,0)+1,FALSE)&gt;0,1,0)</formula>
    </cfRule>
    <cfRule type="expression" dxfId="2184" priority="1216">
      <formula>AND(IF(IFERROR(VLOOKUP($J$3,requiredAttributePTDMap,MATCH($A9,attributeMapFeedProductType,0)+1,FALSE),0)&gt;0,0,1),IF(IFERROR(VLOOKUP($J$3,optionalAttributePTDMap,MATCH($A9,attributeMapFeedProductType,0)+1,FALSE),0)&gt;0,0,1),IF(IFERROR(VLOOKUP($J$3,preferredAttributePTDMap,MATCH($A9,attributeMapFeedProductType,0)+1,FALSE),0)&gt;0,0,1),IF(IFERROR(MATCH($A9,attributeMapFeedProductType,0),0)&gt;0,1,0))</formula>
    </cfRule>
  </conditionalFormatting>
  <conditionalFormatting sqref="K9:K12">
    <cfRule type="expression" dxfId="2183" priority="1217">
      <formula>IF(LEN(K9)&gt;0,1,0)</formula>
    </cfRule>
    <cfRule type="expression" dxfId="2182" priority="1218">
      <formula>IF(VLOOKUP($K$3,requiredAttributePTDMap,MATCH($A9,attributeMapFeedProductType,0)+1,FALSE)&gt;0,1,0)</formula>
    </cfRule>
    <cfRule type="expression" dxfId="2181" priority="1219">
      <formula>IF(VLOOKUP($K$3,optionalAttributePTDMap,MATCH($A9,attributeMapFeedProductType,0)+1,FALSE)&gt;0,1,0)</formula>
    </cfRule>
    <cfRule type="expression" dxfId="2180" priority="1220">
      <formula>IF(VLOOKUP($K$3,preferredAttributePTDMap,MATCH($A9,attributeMapFeedProductType,0)+1,FALSE)&gt;0,1,0)</formula>
    </cfRule>
    <cfRule type="expression" dxfId="2179" priority="1221">
      <formula>AND(IF(IFERROR(VLOOKUP($K$3,requiredAttributePTDMap,MATCH($A9,attributeMapFeedProductType,0)+1,FALSE),0)&gt;0,0,1),IF(IFERROR(VLOOKUP($K$3,optionalAttributePTDMap,MATCH($A9,attributeMapFeedProductType,0)+1,FALSE),0)&gt;0,0,1),IF(IFERROR(VLOOKUP($K$3,preferredAttributePTDMap,MATCH($A9,attributeMapFeedProductType,0)+1,FALSE),0)&gt;0,0,1),IF(IFERROR(MATCH($A9,attributeMapFeedProductType,0),0)&gt;0,1,0))</formula>
    </cfRule>
  </conditionalFormatting>
  <conditionalFormatting sqref="L9:L12">
    <cfRule type="expression" dxfId="2178" priority="1222">
      <formula>IF(LEN(L9)&gt;0,1,0)</formula>
    </cfRule>
    <cfRule type="expression" dxfId="2177" priority="1223">
      <formula>IF(VLOOKUP($L$3,requiredAttributePTDMap,MATCH($A9,attributeMapFeedProductType,0)+1,FALSE)&gt;0,1,0)</formula>
    </cfRule>
    <cfRule type="expression" dxfId="2176" priority="1224">
      <formula>IF(VLOOKUP($L$3,optionalAttributePTDMap,MATCH($A9,attributeMapFeedProductType,0)+1,FALSE)&gt;0,1,0)</formula>
    </cfRule>
    <cfRule type="expression" dxfId="2175" priority="1225">
      <formula>IF(VLOOKUP($L$3,preferredAttributePTDMap,MATCH($A9,attributeMapFeedProductType,0)+1,FALSE)&gt;0,1,0)</formula>
    </cfRule>
    <cfRule type="expression" dxfId="2174" priority="1226">
      <formula>AND(IF(IFERROR(VLOOKUP($L$3,requiredAttributePTDMap,MATCH($A9,attributeMapFeedProductType,0)+1,FALSE),0)&gt;0,0,1),IF(IFERROR(VLOOKUP($L$3,optionalAttributePTDMap,MATCH($A9,attributeMapFeedProductType,0)+1,FALSE),0)&gt;0,0,1),IF(IFERROR(VLOOKUP($L$3,preferredAttributePTDMap,MATCH($A9,attributeMapFeedProductType,0)+1,FALSE),0)&gt;0,0,1),IF(IFERROR(MATCH($A9,attributeMapFeedProductType,0),0)&gt;0,1,0))</formula>
    </cfRule>
  </conditionalFormatting>
  <conditionalFormatting sqref="M9:M12">
    <cfRule type="expression" dxfId="2173" priority="1227">
      <formula>IF(LEN(M9)&gt;0,1,0)</formula>
    </cfRule>
    <cfRule type="expression" dxfId="2172" priority="1228">
      <formula>IF(VLOOKUP($M$3,requiredAttributePTDMap,MATCH($A9,attributeMapFeedProductType,0)+1,FALSE)&gt;0,1,0)</formula>
    </cfRule>
    <cfRule type="expression" dxfId="2171" priority="1229">
      <formula>IF(VLOOKUP($M$3,optionalAttributePTDMap,MATCH($A9,attributeMapFeedProductType,0)+1,FALSE)&gt;0,1,0)</formula>
    </cfRule>
    <cfRule type="expression" dxfId="2170" priority="1230">
      <formula>IF(VLOOKUP($M$3,preferredAttributePTDMap,MATCH($A9,attributeMapFeedProductType,0)+1,FALSE)&gt;0,1,0)</formula>
    </cfRule>
    <cfRule type="expression" dxfId="2169" priority="1231">
      <formula>AND(IF(IFERROR(VLOOKUP($M$3,requiredAttributePTDMap,MATCH($A9,attributeMapFeedProductType,0)+1,FALSE),0)&gt;0,0,1),IF(IFERROR(VLOOKUP($M$3,optionalAttributePTDMap,MATCH($A9,attributeMapFeedProductType,0)+1,FALSE),0)&gt;0,0,1),IF(IFERROR(VLOOKUP($M$3,preferredAttributePTDMap,MATCH($A9,attributeMapFeedProductType,0)+1,FALSE),0)&gt;0,0,1),IF(IFERROR(MATCH($A9,attributeMapFeedProductType,0),0)&gt;0,1,0))</formula>
    </cfRule>
  </conditionalFormatting>
  <conditionalFormatting sqref="N9:N12">
    <cfRule type="expression" dxfId="2168" priority="1232">
      <formula>IF(LEN(N9)&gt;0,1,0)</formula>
    </cfRule>
    <cfRule type="expression" dxfId="2167" priority="1233">
      <formula>IF(VLOOKUP($N$3,requiredAttributePTDMap,MATCH($A9,attributeMapFeedProductType,0)+1,FALSE)&gt;0,1,0)</formula>
    </cfRule>
    <cfRule type="expression" dxfId="2166" priority="1234">
      <formula>IF(VLOOKUP($N$3,optionalAttributePTDMap,MATCH($A9,attributeMapFeedProductType,0)+1,FALSE)&gt;0,1,0)</formula>
    </cfRule>
    <cfRule type="expression" dxfId="2165" priority="1235">
      <formula>IF(VLOOKUP($N$3,preferredAttributePTDMap,MATCH($A9,attributeMapFeedProductType,0)+1,FALSE)&gt;0,1,0)</formula>
    </cfRule>
    <cfRule type="expression" dxfId="2164" priority="1236">
      <formula>AND(IF(IFERROR(VLOOKUP($N$3,requiredAttributePTDMap,MATCH($A9,attributeMapFeedProductType,0)+1,FALSE),0)&gt;0,0,1),IF(IFERROR(VLOOKUP($N$3,optionalAttributePTDMap,MATCH($A9,attributeMapFeedProductType,0)+1,FALSE),0)&gt;0,0,1),IF(IFERROR(VLOOKUP($N$3,preferredAttributePTDMap,MATCH($A9,attributeMapFeedProductType,0)+1,FALSE),0)&gt;0,0,1),IF(IFERROR(MATCH($A9,attributeMapFeedProductType,0),0)&gt;0,1,0))</formula>
    </cfRule>
  </conditionalFormatting>
  <conditionalFormatting sqref="O9:O12">
    <cfRule type="expression" dxfId="2163" priority="1237">
      <formula>IF(LEN(O9)&gt;0,1,0)</formula>
    </cfRule>
    <cfRule type="expression" dxfId="2162" priority="1238">
      <formula>IF(VLOOKUP($O$3,requiredAttributePTDMap,MATCH($A9,attributeMapFeedProductType,0)+1,FALSE)&gt;0,1,0)</formula>
    </cfRule>
    <cfRule type="expression" dxfId="2161" priority="1239">
      <formula>IF(VLOOKUP($O$3,optionalAttributePTDMap,MATCH($A9,attributeMapFeedProductType,0)+1,FALSE)&gt;0,1,0)</formula>
    </cfRule>
    <cfRule type="expression" dxfId="2160" priority="1240">
      <formula>IF(VLOOKUP($O$3,preferredAttributePTDMap,MATCH($A9,attributeMapFeedProductType,0)+1,FALSE)&gt;0,1,0)</formula>
    </cfRule>
    <cfRule type="expression" dxfId="2159" priority="1241">
      <formula>AND(IF(IFERROR(VLOOKUP($O$3,requiredAttributePTDMap,MATCH($A9,attributeMapFeedProductType,0)+1,FALSE),0)&gt;0,0,1),IF(IFERROR(VLOOKUP($O$3,optionalAttributePTDMap,MATCH($A9,attributeMapFeedProductType,0)+1,FALSE),0)&gt;0,0,1),IF(IFERROR(VLOOKUP($O$3,preferredAttributePTDMap,MATCH($A9,attributeMapFeedProductType,0)+1,FALSE),0)&gt;0,0,1),IF(IFERROR(MATCH($A9,attributeMapFeedProductType,0),0)&gt;0,1,0))</formula>
    </cfRule>
  </conditionalFormatting>
  <conditionalFormatting sqref="P9:P12">
    <cfRule type="expression" dxfId="2158" priority="1242">
      <formula>IF(LEN(P9)&gt;0,1,0)</formula>
    </cfRule>
    <cfRule type="expression" dxfId="2157" priority="1243">
      <formula>IF(VLOOKUP($P$3,requiredAttributePTDMap,MATCH($A9,attributeMapFeedProductType,0)+1,FALSE)&gt;0,1,0)</formula>
    </cfRule>
    <cfRule type="expression" dxfId="2156" priority="1244">
      <formula>IF(VLOOKUP($P$3,optionalAttributePTDMap,MATCH($A9,attributeMapFeedProductType,0)+1,FALSE)&gt;0,1,0)</formula>
    </cfRule>
    <cfRule type="expression" dxfId="2155" priority="1245">
      <formula>IF(VLOOKUP($P$3,preferredAttributePTDMap,MATCH($A9,attributeMapFeedProductType,0)+1,FALSE)&gt;0,1,0)</formula>
    </cfRule>
    <cfRule type="expression" dxfId="2154" priority="1246">
      <formula>AND(IF(IFERROR(VLOOKUP($P$3,requiredAttributePTDMap,MATCH($A9,attributeMapFeedProductType,0)+1,FALSE),0)&gt;0,0,1),IF(IFERROR(VLOOKUP($P$3,optionalAttributePTDMap,MATCH($A9,attributeMapFeedProductType,0)+1,FALSE),0)&gt;0,0,1),IF(IFERROR(VLOOKUP($P$3,preferredAttributePTDMap,MATCH($A9,attributeMapFeedProductType,0)+1,FALSE),0)&gt;0,0,1),IF(IFERROR(MATCH($A9,attributeMapFeedProductType,0),0)&gt;0,1,0))</formula>
    </cfRule>
  </conditionalFormatting>
  <conditionalFormatting sqref="Q9:Q12">
    <cfRule type="expression" dxfId="2153" priority="1247">
      <formula>IF(LEN(Q9)&gt;0,1,0)</formula>
    </cfRule>
    <cfRule type="expression" dxfId="2152" priority="1248">
      <formula>IF(VLOOKUP($Q$3,requiredAttributePTDMap,MATCH($A9,attributeMapFeedProductType,0)+1,FALSE)&gt;0,1,0)</formula>
    </cfRule>
    <cfRule type="expression" dxfId="2151" priority="1249">
      <formula>IF(VLOOKUP($Q$3,optionalAttributePTDMap,MATCH($A9,attributeMapFeedProductType,0)+1,FALSE)&gt;0,1,0)</formula>
    </cfRule>
    <cfRule type="expression" dxfId="2150" priority="1250">
      <formula>IF(VLOOKUP($Q$3,preferredAttributePTDMap,MATCH($A9,attributeMapFeedProductType,0)+1,FALSE)&gt;0,1,0)</formula>
    </cfRule>
    <cfRule type="expression" dxfId="2149" priority="1251">
      <formula>AND(IF(IFERROR(VLOOKUP($Q$3,requiredAttributePTDMap,MATCH($A9,attributeMapFeedProductType,0)+1,FALSE),0)&gt;0,0,1),IF(IFERROR(VLOOKUP($Q$3,optionalAttributePTDMap,MATCH($A9,attributeMapFeedProductType,0)+1,FALSE),0)&gt;0,0,1),IF(IFERROR(VLOOKUP($Q$3,preferredAttributePTDMap,MATCH($A9,attributeMapFeedProductType,0)+1,FALSE),0)&gt;0,0,1),IF(IFERROR(MATCH($A9,attributeMapFeedProductType,0),0)&gt;0,1,0))</formula>
    </cfRule>
  </conditionalFormatting>
  <conditionalFormatting sqref="R9:R12">
    <cfRule type="expression" dxfId="2148" priority="1252">
      <formula>IF(LEN(R9)&gt;0,1,0)</formula>
    </cfRule>
    <cfRule type="expression" dxfId="2147" priority="1253">
      <formula>IF(VLOOKUP($R$3,requiredAttributePTDMap,MATCH($A9,attributeMapFeedProductType,0)+1,FALSE)&gt;0,1,0)</formula>
    </cfRule>
    <cfRule type="expression" dxfId="2146" priority="1254">
      <formula>IF(VLOOKUP($R$3,optionalAttributePTDMap,MATCH($A9,attributeMapFeedProductType,0)+1,FALSE)&gt;0,1,0)</formula>
    </cfRule>
    <cfRule type="expression" dxfId="2145" priority="1255">
      <formula>IF(VLOOKUP($R$3,preferredAttributePTDMap,MATCH($A9,attributeMapFeedProductType,0)+1,FALSE)&gt;0,1,0)</formula>
    </cfRule>
    <cfRule type="expression" dxfId="2144" priority="1256">
      <formula>AND(IF(IFERROR(VLOOKUP($R$3,requiredAttributePTDMap,MATCH($A9,attributeMapFeedProductType,0)+1,FALSE),0)&gt;0,0,1),IF(IFERROR(VLOOKUP($R$3,optionalAttributePTDMap,MATCH($A9,attributeMapFeedProductType,0)+1,FALSE),0)&gt;0,0,1),IF(IFERROR(VLOOKUP($R$3,preferredAttributePTDMap,MATCH($A9,attributeMapFeedProductType,0)+1,FALSE),0)&gt;0,0,1),IF(IFERROR(MATCH($A9,attributeMapFeedProductType,0),0)&gt;0,1,0))</formula>
    </cfRule>
  </conditionalFormatting>
  <conditionalFormatting sqref="S9:S12">
    <cfRule type="expression" dxfId="2143" priority="1257">
      <formula>IF(LEN(S9)&gt;0,1,0)</formula>
    </cfRule>
    <cfRule type="expression" dxfId="2142" priority="1258">
      <formula>IF(VLOOKUP($S$3,requiredAttributePTDMap,MATCH($A9,attributeMapFeedProductType,0)+1,FALSE)&gt;0,1,0)</formula>
    </cfRule>
    <cfRule type="expression" dxfId="2141" priority="1259">
      <formula>IF(VLOOKUP($S$3,optionalAttributePTDMap,MATCH($A9,attributeMapFeedProductType,0)+1,FALSE)&gt;0,1,0)</formula>
    </cfRule>
    <cfRule type="expression" dxfId="2140" priority="1260">
      <formula>IF(VLOOKUP($S$3,preferredAttributePTDMap,MATCH($A9,attributeMapFeedProductType,0)+1,FALSE)&gt;0,1,0)</formula>
    </cfRule>
    <cfRule type="expression" dxfId="2139" priority="1261">
      <formula>AND(IF(IFERROR(VLOOKUP($S$3,requiredAttributePTDMap,MATCH($A9,attributeMapFeedProductType,0)+1,FALSE),0)&gt;0,0,1),IF(IFERROR(VLOOKUP($S$3,optionalAttributePTDMap,MATCH($A9,attributeMapFeedProductType,0)+1,FALSE),0)&gt;0,0,1),IF(IFERROR(VLOOKUP($S$3,preferredAttributePTDMap,MATCH($A9,attributeMapFeedProductType,0)+1,FALSE),0)&gt;0,0,1),IF(IFERROR(MATCH($A9,attributeMapFeedProductType,0),0)&gt;0,1,0))</formula>
    </cfRule>
  </conditionalFormatting>
  <conditionalFormatting sqref="T9:T12">
    <cfRule type="expression" dxfId="2138" priority="1262">
      <formula>IF(LEN(T9)&gt;0,1,0)</formula>
    </cfRule>
    <cfRule type="expression" dxfId="2137" priority="1263">
      <formula>IF(VLOOKUP($T$3,requiredAttributePTDMap,MATCH($A9,attributeMapFeedProductType,0)+1,FALSE)&gt;0,1,0)</formula>
    </cfRule>
    <cfRule type="expression" dxfId="2136" priority="1264">
      <formula>IF(VLOOKUP($T$3,optionalAttributePTDMap,MATCH($A9,attributeMapFeedProductType,0)+1,FALSE)&gt;0,1,0)</formula>
    </cfRule>
    <cfRule type="expression" dxfId="2135" priority="1265">
      <formula>IF(VLOOKUP($T$3,preferredAttributePTDMap,MATCH($A9,attributeMapFeedProductType,0)+1,FALSE)&gt;0,1,0)</formula>
    </cfRule>
    <cfRule type="expression" dxfId="2134" priority="1266">
      <formula>AND(IF(IFERROR(VLOOKUP($T$3,requiredAttributePTDMap,MATCH($A9,attributeMapFeedProductType,0)+1,FALSE),0)&gt;0,0,1),IF(IFERROR(VLOOKUP($T$3,optionalAttributePTDMap,MATCH($A9,attributeMapFeedProductType,0)+1,FALSE),0)&gt;0,0,1),IF(IFERROR(VLOOKUP($T$3,preferredAttributePTDMap,MATCH($A9,attributeMapFeedProductType,0)+1,FALSE),0)&gt;0,0,1),IF(IFERROR(MATCH($A9,attributeMapFeedProductType,0),0)&gt;0,1,0))</formula>
    </cfRule>
  </conditionalFormatting>
  <conditionalFormatting sqref="V9:V12">
    <cfRule type="expression" dxfId="2133" priority="1267">
      <formula>IF(LEN(V9)&gt;0,1,0)</formula>
    </cfRule>
    <cfRule type="expression" dxfId="2132" priority="1268">
      <formula>IF(VLOOKUP($V$3,requiredAttributePTDMap,MATCH($A9,attributeMapFeedProductType,0)+1,FALSE)&gt;0,1,0)</formula>
    </cfRule>
    <cfRule type="expression" dxfId="2131" priority="1269">
      <formula>IF(VLOOKUP($V$3,optionalAttributePTDMap,MATCH($A9,attributeMapFeedProductType,0)+1,FALSE)&gt;0,1,0)</formula>
    </cfRule>
    <cfRule type="expression" dxfId="2130" priority="1270">
      <formula>IF(VLOOKUP($V$3,preferredAttributePTDMap,MATCH($A9,attributeMapFeedProductType,0)+1,FALSE)&gt;0,1,0)</formula>
    </cfRule>
    <cfRule type="expression" dxfId="2129" priority="1271">
      <formula>AND(IF(IFERROR(VLOOKUP($V$3,requiredAttributePTDMap,MATCH($A9,attributeMapFeedProductType,0)+1,FALSE),0)&gt;0,0,1),IF(IFERROR(VLOOKUP($V$3,optionalAttributePTDMap,MATCH($A9,attributeMapFeedProductType,0)+1,FALSE),0)&gt;0,0,1),IF(IFERROR(VLOOKUP($V$3,preferredAttributePTDMap,MATCH($A9,attributeMapFeedProductType,0)+1,FALSE),0)&gt;0,0,1),IF(IFERROR(MATCH($A9,attributeMapFeedProductType,0),0)&gt;0,1,0))</formula>
    </cfRule>
  </conditionalFormatting>
  <conditionalFormatting sqref="W9:W12">
    <cfRule type="expression" dxfId="2128" priority="1272">
      <formula>IF(LEN(W9)&gt;0,1,0)</formula>
    </cfRule>
    <cfRule type="expression" dxfId="2127" priority="1273">
      <formula>IF(VLOOKUP($W$3,requiredAttributePTDMap,MATCH($A9,attributeMapFeedProductType,0)+1,FALSE)&gt;0,1,0)</formula>
    </cfRule>
    <cfRule type="expression" dxfId="2126" priority="1274">
      <formula>IF(VLOOKUP($W$3,optionalAttributePTDMap,MATCH($A9,attributeMapFeedProductType,0)+1,FALSE)&gt;0,1,0)</formula>
    </cfRule>
    <cfRule type="expression" dxfId="2125" priority="1275">
      <formula>IF(VLOOKUP($W$3,preferredAttributePTDMap,MATCH($A9,attributeMapFeedProductType,0)+1,FALSE)&gt;0,1,0)</formula>
    </cfRule>
    <cfRule type="expression" dxfId="2124" priority="1276">
      <formula>AND(IF(IFERROR(VLOOKUP($W$3,requiredAttributePTDMap,MATCH($A9,attributeMapFeedProductType,0)+1,FALSE),0)&gt;0,0,1),IF(IFERROR(VLOOKUP($W$3,optionalAttributePTDMap,MATCH($A9,attributeMapFeedProductType,0)+1,FALSE),0)&gt;0,0,1),IF(IFERROR(VLOOKUP($W$3,preferredAttributePTDMap,MATCH($A9,attributeMapFeedProductType,0)+1,FALSE),0)&gt;0,0,1),IF(IFERROR(MATCH($A9,attributeMapFeedProductType,0),0)&gt;0,1,0))</formula>
    </cfRule>
  </conditionalFormatting>
  <conditionalFormatting sqref="X9:X12">
    <cfRule type="expression" dxfId="2123" priority="1277">
      <formula>IF(LEN(X9)&gt;0,1,0)</formula>
    </cfRule>
    <cfRule type="expression" dxfId="2122" priority="1278">
      <formula>IF(VLOOKUP($X$3,requiredAttributePTDMap,MATCH($A9,attributeMapFeedProductType,0)+1,FALSE)&gt;0,1,0)</formula>
    </cfRule>
    <cfRule type="expression" dxfId="2121" priority="1279">
      <formula>IF(VLOOKUP($X$3,optionalAttributePTDMap,MATCH($A9,attributeMapFeedProductType,0)+1,FALSE)&gt;0,1,0)</formula>
    </cfRule>
    <cfRule type="expression" dxfId="2120" priority="1280">
      <formula>IF(VLOOKUP($X$3,preferredAttributePTDMap,MATCH($A9,attributeMapFeedProductType,0)+1,FALSE)&gt;0,1,0)</formula>
    </cfRule>
    <cfRule type="expression" dxfId="2119" priority="1281">
      <formula>AND(IF(IFERROR(VLOOKUP($X$3,requiredAttributePTDMap,MATCH($A9,attributeMapFeedProductType,0)+1,FALSE),0)&gt;0,0,1),IF(IFERROR(VLOOKUP($X$3,optionalAttributePTDMap,MATCH($A9,attributeMapFeedProductType,0)+1,FALSE),0)&gt;0,0,1),IF(IFERROR(VLOOKUP($X$3,preferredAttributePTDMap,MATCH($A9,attributeMapFeedProductType,0)+1,FALSE),0)&gt;0,0,1),IF(IFERROR(MATCH($A9,attributeMapFeedProductType,0),0)&gt;0,1,0))</formula>
    </cfRule>
  </conditionalFormatting>
  <conditionalFormatting sqref="Y9:Y12">
    <cfRule type="expression" dxfId="2118" priority="1282">
      <formula>IF(LEN(Y9)&gt;0,1,0)</formula>
    </cfRule>
    <cfRule type="expression" dxfId="2117" priority="1283">
      <formula>IF(VLOOKUP($Y$3,requiredAttributePTDMap,MATCH($A9,attributeMapFeedProductType,0)+1,FALSE)&gt;0,1,0)</formula>
    </cfRule>
    <cfRule type="expression" dxfId="2116" priority="1284">
      <formula>IF(VLOOKUP($Y$3,optionalAttributePTDMap,MATCH($A9,attributeMapFeedProductType,0)+1,FALSE)&gt;0,1,0)</formula>
    </cfRule>
    <cfRule type="expression" dxfId="2115" priority="1285">
      <formula>IF(VLOOKUP($Y$3,preferredAttributePTDMap,MATCH($A9,attributeMapFeedProductType,0)+1,FALSE)&gt;0,1,0)</formula>
    </cfRule>
    <cfRule type="expression" dxfId="2114" priority="1286">
      <formula>AND(IF(IFERROR(VLOOKUP($Y$3,requiredAttributePTDMap,MATCH($A9,attributeMapFeedProductType,0)+1,FALSE),0)&gt;0,0,1),IF(IFERROR(VLOOKUP($Y$3,optionalAttributePTDMap,MATCH($A9,attributeMapFeedProductType,0)+1,FALSE),0)&gt;0,0,1),IF(IFERROR(VLOOKUP($Y$3,preferredAttributePTDMap,MATCH($A9,attributeMapFeedProductType,0)+1,FALSE),0)&gt;0,0,1),IF(IFERROR(MATCH($A9,attributeMapFeedProductType,0),0)&gt;0,1,0))</formula>
    </cfRule>
  </conditionalFormatting>
  <conditionalFormatting sqref="Z9:Z12">
    <cfRule type="expression" dxfId="2113" priority="1287">
      <formula>IF(LEN(Z9)&gt;0,1,0)</formula>
    </cfRule>
    <cfRule type="expression" dxfId="2112" priority="1288">
      <formula>IF(VLOOKUP($Z$3,requiredAttributePTDMap,MATCH($A9,attributeMapFeedProductType,0)+1,FALSE)&gt;0,1,0)</formula>
    </cfRule>
    <cfRule type="expression" dxfId="2111" priority="1289">
      <formula>IF(VLOOKUP($Z$3,optionalAttributePTDMap,MATCH($A9,attributeMapFeedProductType,0)+1,FALSE)&gt;0,1,0)</formula>
    </cfRule>
    <cfRule type="expression" dxfId="2110" priority="1290">
      <formula>IF(VLOOKUP($Z$3,preferredAttributePTDMap,MATCH($A9,attributeMapFeedProductType,0)+1,FALSE)&gt;0,1,0)</formula>
    </cfRule>
    <cfRule type="expression" dxfId="2109" priority="1291">
      <formula>AND(IF(IFERROR(VLOOKUP($Z$3,requiredAttributePTDMap,MATCH($A9,attributeMapFeedProductType,0)+1,FALSE),0)&gt;0,0,1),IF(IFERROR(VLOOKUP($Z$3,optionalAttributePTDMap,MATCH($A9,attributeMapFeedProductType,0)+1,FALSE),0)&gt;0,0,1),IF(IFERROR(VLOOKUP($Z$3,preferredAttributePTDMap,MATCH($A9,attributeMapFeedProductType,0)+1,FALSE),0)&gt;0,0,1),IF(IFERROR(MATCH($A9,attributeMapFeedProductType,0),0)&gt;0,1,0))</formula>
    </cfRule>
  </conditionalFormatting>
  <conditionalFormatting sqref="AA9:AA12">
    <cfRule type="expression" dxfId="2108" priority="1292">
      <formula>IF(LEN(AA9)&gt;0,1,0)</formula>
    </cfRule>
    <cfRule type="expression" dxfId="2107" priority="1293">
      <formula>IF(VLOOKUP($AA$3,requiredAttributePTDMap,MATCH($A9,attributeMapFeedProductType,0)+1,FALSE)&gt;0,1,0)</formula>
    </cfRule>
    <cfRule type="expression" dxfId="2106" priority="1294">
      <formula>IF(VLOOKUP($AA$3,optionalAttributePTDMap,MATCH($A9,attributeMapFeedProductType,0)+1,FALSE)&gt;0,1,0)</formula>
    </cfRule>
    <cfRule type="expression" dxfId="2105" priority="1295">
      <formula>IF(VLOOKUP($AA$3,preferredAttributePTDMap,MATCH($A9,attributeMapFeedProductType,0)+1,FALSE)&gt;0,1,0)</formula>
    </cfRule>
    <cfRule type="expression" dxfId="2104" priority="1296">
      <formula>AND(IF(IFERROR(VLOOKUP($AA$3,requiredAttributePTDMap,MATCH($A9,attributeMapFeedProductType,0)+1,FALSE),0)&gt;0,0,1),IF(IFERROR(VLOOKUP($AA$3,optionalAttributePTDMap,MATCH($A9,attributeMapFeedProductType,0)+1,FALSE),0)&gt;0,0,1),IF(IFERROR(VLOOKUP($AA$3,preferredAttributePTDMap,MATCH($A9,attributeMapFeedProductType,0)+1,FALSE),0)&gt;0,0,1),IF(IFERROR(MATCH($A9,attributeMapFeedProductType,0),0)&gt;0,1,0))</formula>
    </cfRule>
  </conditionalFormatting>
  <conditionalFormatting sqref="AB9:AB12">
    <cfRule type="expression" dxfId="2103" priority="1297">
      <formula>IF(LEN(AB9)&gt;0,1,0)</formula>
    </cfRule>
    <cfRule type="expression" dxfId="2102" priority="1298">
      <formula>IF(VLOOKUP($AB$3,requiredAttributePTDMap,MATCH($A9,attributeMapFeedProductType,0)+1,FALSE)&gt;0,1,0)</formula>
    </cfRule>
    <cfRule type="expression" dxfId="2101" priority="1299">
      <formula>IF(VLOOKUP($AB$3,optionalAttributePTDMap,MATCH($A9,attributeMapFeedProductType,0)+1,FALSE)&gt;0,1,0)</formula>
    </cfRule>
    <cfRule type="expression" dxfId="2100" priority="1300">
      <formula>IF(VLOOKUP($AB$3,preferredAttributePTDMap,MATCH($A9,attributeMapFeedProductType,0)+1,FALSE)&gt;0,1,0)</formula>
    </cfRule>
    <cfRule type="expression" dxfId="2099" priority="1301">
      <formula>AND(IF(IFERROR(VLOOKUP($AB$3,requiredAttributePTDMap,MATCH($A9,attributeMapFeedProductType,0)+1,FALSE),0)&gt;0,0,1),IF(IFERROR(VLOOKUP($AB$3,optionalAttributePTDMap,MATCH($A9,attributeMapFeedProductType,0)+1,FALSE),0)&gt;0,0,1),IF(IFERROR(VLOOKUP($AB$3,preferredAttributePTDMap,MATCH($A9,attributeMapFeedProductType,0)+1,FALSE),0)&gt;0,0,1),IF(IFERROR(MATCH($A9,attributeMapFeedProductType,0),0)&gt;0,1,0))</formula>
    </cfRule>
  </conditionalFormatting>
  <conditionalFormatting sqref="AC9:AC12">
    <cfRule type="expression" dxfId="2098" priority="1302">
      <formula>IF(LEN(AC9)&gt;0,1,0)</formula>
    </cfRule>
    <cfRule type="expression" dxfId="2097" priority="1303">
      <formula>IF(VLOOKUP($AC$3,requiredAttributePTDMap,MATCH($A9,attributeMapFeedProductType,0)+1,FALSE)&gt;0,1,0)</formula>
    </cfRule>
    <cfRule type="expression" dxfId="2096" priority="1304">
      <formula>IF(VLOOKUP($AC$3,optionalAttributePTDMap,MATCH($A9,attributeMapFeedProductType,0)+1,FALSE)&gt;0,1,0)</formula>
    </cfRule>
    <cfRule type="expression" dxfId="2095" priority="1305">
      <formula>IF(VLOOKUP($AC$3,preferredAttributePTDMap,MATCH($A9,attributeMapFeedProductType,0)+1,FALSE)&gt;0,1,0)</formula>
    </cfRule>
    <cfRule type="expression" dxfId="2094" priority="1306">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D9:AD12">
    <cfRule type="expression" dxfId="2093" priority="1307">
      <formula>IF(LEN(AD9)&gt;0,1,0)</formula>
    </cfRule>
    <cfRule type="expression" dxfId="2092" priority="1308">
      <formula>IF(VLOOKUP($AD$3,requiredAttributePTDMap,MATCH($A9,attributeMapFeedProductType,0)+1,FALSE)&gt;0,1,0)</formula>
    </cfRule>
    <cfRule type="expression" dxfId="2091" priority="1309">
      <formula>IF(VLOOKUP($AD$3,optionalAttributePTDMap,MATCH($A9,attributeMapFeedProductType,0)+1,FALSE)&gt;0,1,0)</formula>
    </cfRule>
    <cfRule type="expression" dxfId="2090" priority="1310">
      <formula>IF(VLOOKUP($AD$3,preferredAttributePTDMap,MATCH($A9,attributeMapFeedProductType,0)+1,FALSE)&gt;0,1,0)</formula>
    </cfRule>
    <cfRule type="expression" dxfId="2089" priority="1311">
      <formula>AND(IF(IFERROR(VLOOKUP($AD$3,requiredAttributePTDMap,MATCH($A9,attributeMapFeedProductType,0)+1,FALSE),0)&gt;0,0,1),IF(IFERROR(VLOOKUP($AD$3,optionalAttributePTDMap,MATCH($A9,attributeMapFeedProductType,0)+1,FALSE),0)&gt;0,0,1),IF(IFERROR(VLOOKUP($AD$3,preferredAttributePTDMap,MATCH($A9,attributeMapFeedProductType,0)+1,FALSE),0)&gt;0,0,1),IF(IFERROR(MATCH($A9,attributeMapFeedProductType,0),0)&gt;0,1,0))</formula>
    </cfRule>
  </conditionalFormatting>
  <conditionalFormatting sqref="AE9:AE12">
    <cfRule type="expression" dxfId="2088" priority="1312">
      <formula>IF(LEN(AE9)&gt;0,1,0)</formula>
    </cfRule>
    <cfRule type="expression" dxfId="2087" priority="1313">
      <formula>IF(VLOOKUP($AE$3,requiredAttributePTDMap,MATCH($A9,attributeMapFeedProductType,0)+1,FALSE)&gt;0,1,0)</formula>
    </cfRule>
    <cfRule type="expression" dxfId="2086" priority="1314">
      <formula>IF(VLOOKUP($AE$3,optionalAttributePTDMap,MATCH($A9,attributeMapFeedProductType,0)+1,FALSE)&gt;0,1,0)</formula>
    </cfRule>
    <cfRule type="expression" dxfId="2085" priority="1315">
      <formula>IF(VLOOKUP($AE$3,preferredAttributePTDMap,MATCH($A9,attributeMapFeedProductType,0)+1,FALSE)&gt;0,1,0)</formula>
    </cfRule>
    <cfRule type="expression" dxfId="2084" priority="1316">
      <formula>AND(IF(IFERROR(VLOOKUP($AE$3,requiredAttributePTDMap,MATCH($A9,attributeMapFeedProductType,0)+1,FALSE),0)&gt;0,0,1),IF(IFERROR(VLOOKUP($AE$3,optionalAttributePTDMap,MATCH($A9,attributeMapFeedProductType,0)+1,FALSE),0)&gt;0,0,1),IF(IFERROR(VLOOKUP($AE$3,preferredAttributePTDMap,MATCH($A9,attributeMapFeedProductType,0)+1,FALSE),0)&gt;0,0,1),IF(IFERROR(MATCH($A9,attributeMapFeedProductType,0),0)&gt;0,1,0))</formula>
    </cfRule>
  </conditionalFormatting>
  <conditionalFormatting sqref="AF9:AF12">
    <cfRule type="expression" dxfId="2083" priority="1317">
      <formula>IF(LEN(AF9)&gt;0,1,0)</formula>
    </cfRule>
    <cfRule type="expression" dxfId="2082" priority="1318">
      <formula>IF(VLOOKUP($AF$3,requiredAttributePTDMap,MATCH($A9,attributeMapFeedProductType,0)+1,FALSE)&gt;0,1,0)</formula>
    </cfRule>
    <cfRule type="expression" dxfId="2081" priority="1319">
      <formula>IF(VLOOKUP($AF$3,optionalAttributePTDMap,MATCH($A9,attributeMapFeedProductType,0)+1,FALSE)&gt;0,1,0)</formula>
    </cfRule>
    <cfRule type="expression" dxfId="2080" priority="1320">
      <formula>IF(VLOOKUP($AF$3,preferredAttributePTDMap,MATCH($A9,attributeMapFeedProductType,0)+1,FALSE)&gt;0,1,0)</formula>
    </cfRule>
    <cfRule type="expression" dxfId="2079" priority="1321">
      <formula>AND(IF(IFERROR(VLOOKUP($AF$3,requiredAttributePTDMap,MATCH($A9,attributeMapFeedProductType,0)+1,FALSE),0)&gt;0,0,1),IF(IFERROR(VLOOKUP($AF$3,optionalAttributePTDMap,MATCH($A9,attributeMapFeedProductType,0)+1,FALSE),0)&gt;0,0,1),IF(IFERROR(VLOOKUP($AF$3,preferredAttributePTDMap,MATCH($A9,attributeMapFeedProductType,0)+1,FALSE),0)&gt;0,0,1),IF(IFERROR(MATCH($A9,attributeMapFeedProductType,0),0)&gt;0,1,0))</formula>
    </cfRule>
  </conditionalFormatting>
  <conditionalFormatting sqref="AG9:AG12">
    <cfRule type="expression" dxfId="2078" priority="1322">
      <formula>IF(LEN(AG9)&gt;0,1,0)</formula>
    </cfRule>
    <cfRule type="expression" dxfId="2077" priority="1323">
      <formula>IF(VLOOKUP($AG$3,requiredAttributePTDMap,MATCH($A9,attributeMapFeedProductType,0)+1,FALSE)&gt;0,1,0)</formula>
    </cfRule>
    <cfRule type="expression" dxfId="2076" priority="1324">
      <formula>IF(VLOOKUP($AG$3,optionalAttributePTDMap,MATCH($A9,attributeMapFeedProductType,0)+1,FALSE)&gt;0,1,0)</formula>
    </cfRule>
    <cfRule type="expression" dxfId="2075" priority="1325">
      <formula>IF(VLOOKUP($AG$3,preferredAttributePTDMap,MATCH($A9,attributeMapFeedProductType,0)+1,FALSE)&gt;0,1,0)</formula>
    </cfRule>
    <cfRule type="expression" dxfId="2074" priority="1326">
      <formula>AND(IF(IFERROR(VLOOKUP($AG$3,requiredAttributePTDMap,MATCH($A9,attributeMapFeedProductType,0)+1,FALSE),0)&gt;0,0,1),IF(IFERROR(VLOOKUP($AG$3,optionalAttributePTDMap,MATCH($A9,attributeMapFeedProductType,0)+1,FALSE),0)&gt;0,0,1),IF(IFERROR(VLOOKUP($AG$3,preferredAttributePTDMap,MATCH($A9,attributeMapFeedProductType,0)+1,FALSE),0)&gt;0,0,1),IF(IFERROR(MATCH($A9,attributeMapFeedProductType,0),0)&gt;0,1,0))</formula>
    </cfRule>
  </conditionalFormatting>
  <conditionalFormatting sqref="AH9:AH12">
    <cfRule type="expression" dxfId="2073" priority="1327">
      <formula>IF(LEN(AH9)&gt;0,1,0)</formula>
    </cfRule>
    <cfRule type="expression" dxfId="2072" priority="1328">
      <formula>IF(VLOOKUP($AH$3,requiredAttributePTDMap,MATCH($A9,attributeMapFeedProductType,0)+1,FALSE)&gt;0,1,0)</formula>
    </cfRule>
    <cfRule type="expression" dxfId="2071" priority="1329">
      <formula>IF(VLOOKUP($AH$3,optionalAttributePTDMap,MATCH($A9,attributeMapFeedProductType,0)+1,FALSE)&gt;0,1,0)</formula>
    </cfRule>
    <cfRule type="expression" dxfId="2070" priority="1330">
      <formula>IF(VLOOKUP($AH$3,preferredAttributePTDMap,MATCH($A9,attributeMapFeedProductType,0)+1,FALSE)&gt;0,1,0)</formula>
    </cfRule>
    <cfRule type="expression" dxfId="2069" priority="1331">
      <formula>AND(IF(IFERROR(VLOOKUP($AH$3,requiredAttributePTDMap,MATCH($A9,attributeMapFeedProductType,0)+1,FALSE),0)&gt;0,0,1),IF(IFERROR(VLOOKUP($AH$3,optionalAttributePTDMap,MATCH($A9,attributeMapFeedProductType,0)+1,FALSE),0)&gt;0,0,1),IF(IFERROR(VLOOKUP($AH$3,preferredAttributePTDMap,MATCH($A9,attributeMapFeedProductType,0)+1,FALSE),0)&gt;0,0,1),IF(IFERROR(MATCH($A9,attributeMapFeedProductType,0),0)&gt;0,1,0))</formula>
    </cfRule>
  </conditionalFormatting>
  <conditionalFormatting sqref="AI9:AI12">
    <cfRule type="expression" dxfId="2068" priority="1332">
      <formula>IF(LEN(AI9)&gt;0,1,0)</formula>
    </cfRule>
    <cfRule type="expression" dxfId="2067" priority="1333">
      <formula>IF(VLOOKUP($AI$3,requiredAttributePTDMap,MATCH($A9,attributeMapFeedProductType,0)+1,FALSE)&gt;0,1,0)</formula>
    </cfRule>
    <cfRule type="expression" dxfId="2066" priority="1334">
      <formula>IF(VLOOKUP($AI$3,optionalAttributePTDMap,MATCH($A9,attributeMapFeedProductType,0)+1,FALSE)&gt;0,1,0)</formula>
    </cfRule>
    <cfRule type="expression" dxfId="2065" priority="1335">
      <formula>IF(VLOOKUP($AI$3,preferredAttributePTDMap,MATCH($A9,attributeMapFeedProductType,0)+1,FALSE)&gt;0,1,0)</formula>
    </cfRule>
    <cfRule type="expression" dxfId="2064" priority="1336">
      <formula>AND(IF(IFERROR(VLOOKUP($AI$3,requiredAttributePTDMap,MATCH($A9,attributeMapFeedProductType,0)+1,FALSE),0)&gt;0,0,1),IF(IFERROR(VLOOKUP($AI$3,optionalAttributePTDMap,MATCH($A9,attributeMapFeedProductType,0)+1,FALSE),0)&gt;0,0,1),IF(IFERROR(VLOOKUP($AI$3,preferredAttributePTDMap,MATCH($A9,attributeMapFeedProductType,0)+1,FALSE),0)&gt;0,0,1),IF(IFERROR(MATCH($A9,attributeMapFeedProductType,0),0)&gt;0,1,0))</formula>
    </cfRule>
  </conditionalFormatting>
  <conditionalFormatting sqref="AK9:AK12">
    <cfRule type="expression" dxfId="2063" priority="1337">
      <formula>IF(LEN(AK9)&gt;0,1,0)</formula>
    </cfRule>
    <cfRule type="expression" dxfId="2062" priority="1338">
      <formula>IF(VLOOKUP($AK$3,requiredAttributePTDMap,MATCH($A9,attributeMapFeedProductType,0)+1,FALSE)&gt;0,1,0)</formula>
    </cfRule>
    <cfRule type="expression" dxfId="2061" priority="1339">
      <formula>IF(VLOOKUP($AK$3,optionalAttributePTDMap,MATCH($A9,attributeMapFeedProductType,0)+1,FALSE)&gt;0,1,0)</formula>
    </cfRule>
    <cfRule type="expression" dxfId="2060" priority="1340">
      <formula>IF(VLOOKUP($AK$3,preferredAttributePTDMap,MATCH($A9,attributeMapFeedProductType,0)+1,FALSE)&gt;0,1,0)</formula>
    </cfRule>
    <cfRule type="expression" dxfId="2059" priority="1341">
      <formula>AND(IF(IFERROR(VLOOKUP($AK$3,requiredAttributePTDMap,MATCH($A9,attributeMapFeedProductType,0)+1,FALSE),0)&gt;0,0,1),IF(IFERROR(VLOOKUP($AK$3,optionalAttributePTDMap,MATCH($A9,attributeMapFeedProductType,0)+1,FALSE),0)&gt;0,0,1),IF(IFERROR(VLOOKUP($AK$3,preferredAttributePTDMap,MATCH($A9,attributeMapFeedProductType,0)+1,FALSE),0)&gt;0,0,1),IF(IFERROR(MATCH($A9,attributeMapFeedProductType,0),0)&gt;0,1,0))</formula>
    </cfRule>
  </conditionalFormatting>
  <conditionalFormatting sqref="AL9:AL12">
    <cfRule type="expression" dxfId="2058" priority="1342">
      <formula>IF(LEN(AL9)&gt;0,1,0)</formula>
    </cfRule>
    <cfRule type="expression" dxfId="2057" priority="1343">
      <formula>IF(VLOOKUP($AL$3,requiredAttributePTDMap,MATCH($A9,attributeMapFeedProductType,0)+1,FALSE)&gt;0,1,0)</formula>
    </cfRule>
    <cfRule type="expression" dxfId="2056" priority="1344">
      <formula>IF(VLOOKUP($AL$3,optionalAttributePTDMap,MATCH($A9,attributeMapFeedProductType,0)+1,FALSE)&gt;0,1,0)</formula>
    </cfRule>
    <cfRule type="expression" dxfId="2055" priority="1345">
      <formula>IF(VLOOKUP($AL$3,preferredAttributePTDMap,MATCH($A9,attributeMapFeedProductType,0)+1,FALSE)&gt;0,1,0)</formula>
    </cfRule>
    <cfRule type="expression" dxfId="2054" priority="1346">
      <formula>AND(IF(IFERROR(VLOOKUP($AL$3,requiredAttributePTDMap,MATCH($A9,attributeMapFeedProductType,0)+1,FALSE),0)&gt;0,0,1),IF(IFERROR(VLOOKUP($AL$3,optionalAttributePTDMap,MATCH($A9,attributeMapFeedProductType,0)+1,FALSE),0)&gt;0,0,1),IF(IFERROR(VLOOKUP($AL$3,preferredAttributePTDMap,MATCH($A9,attributeMapFeedProductType,0)+1,FALSE),0)&gt;0,0,1),IF(IFERROR(MATCH($A9,attributeMapFeedProductType,0),0)&gt;0,1,0))</formula>
    </cfRule>
  </conditionalFormatting>
  <conditionalFormatting sqref="AM9:AM12">
    <cfRule type="expression" dxfId="2053" priority="1347">
      <formula>IF(LEN(AM9)&gt;0,1,0)</formula>
    </cfRule>
    <cfRule type="expression" dxfId="2052" priority="1348">
      <formula>IF(VLOOKUP($AM$3,requiredAttributePTDMap,MATCH($A9,attributeMapFeedProductType,0)+1,FALSE)&gt;0,1,0)</formula>
    </cfRule>
    <cfRule type="expression" dxfId="2051" priority="1349">
      <formula>IF(VLOOKUP($AM$3,optionalAttributePTDMap,MATCH($A9,attributeMapFeedProductType,0)+1,FALSE)&gt;0,1,0)</formula>
    </cfRule>
    <cfRule type="expression" dxfId="2050" priority="1350">
      <formula>IF(VLOOKUP($AM$3,preferredAttributePTDMap,MATCH($A9,attributeMapFeedProductType,0)+1,FALSE)&gt;0,1,0)</formula>
    </cfRule>
    <cfRule type="expression" dxfId="2049" priority="1351">
      <formula>AND(IF(IFERROR(VLOOKUP($AM$3,requiredAttributePTDMap,MATCH($A9,attributeMapFeedProductType,0)+1,FALSE),0)&gt;0,0,1),IF(IFERROR(VLOOKUP($AM$3,optionalAttributePTDMap,MATCH($A9,attributeMapFeedProductType,0)+1,FALSE),0)&gt;0,0,1),IF(IFERROR(VLOOKUP($AM$3,preferredAttributePTDMap,MATCH($A9,attributeMapFeedProductType,0)+1,FALSE),0)&gt;0,0,1),IF(IFERROR(MATCH($A9,attributeMapFeedProductType,0),0)&gt;0,1,0))</formula>
    </cfRule>
  </conditionalFormatting>
  <conditionalFormatting sqref="AN9:AN12">
    <cfRule type="expression" dxfId="2048" priority="1352">
      <formula>IF(LEN(AN9)&gt;0,1,0)</formula>
    </cfRule>
    <cfRule type="expression" dxfId="2047" priority="1353">
      <formula>IF(VLOOKUP($AN$3,requiredAttributePTDMap,MATCH($A9,attributeMapFeedProductType,0)+1,FALSE)&gt;0,1,0)</formula>
    </cfRule>
    <cfRule type="expression" dxfId="2046" priority="1354">
      <formula>IF(VLOOKUP($AN$3,optionalAttributePTDMap,MATCH($A9,attributeMapFeedProductType,0)+1,FALSE)&gt;0,1,0)</formula>
    </cfRule>
    <cfRule type="expression" dxfId="2045" priority="1355">
      <formula>IF(VLOOKUP($AN$3,preferredAttributePTDMap,MATCH($A9,attributeMapFeedProductType,0)+1,FALSE)&gt;0,1,0)</formula>
    </cfRule>
    <cfRule type="expression" dxfId="2044" priority="1356">
      <formula>AND(IF(IFERROR(VLOOKUP($AN$3,requiredAttributePTDMap,MATCH($A9,attributeMapFeedProductType,0)+1,FALSE),0)&gt;0,0,1),IF(IFERROR(VLOOKUP($AN$3,optionalAttributePTDMap,MATCH($A9,attributeMapFeedProductType,0)+1,FALSE),0)&gt;0,0,1),IF(IFERROR(VLOOKUP($AN$3,preferredAttributePTDMap,MATCH($A9,attributeMapFeedProductType,0)+1,FALSE),0)&gt;0,0,1),IF(IFERROR(MATCH($A9,attributeMapFeedProductType,0),0)&gt;0,1,0))</formula>
    </cfRule>
  </conditionalFormatting>
  <conditionalFormatting sqref="AO9:AO12">
    <cfRule type="expression" dxfId="2043" priority="1357">
      <formula>IF(LEN(AO9)&gt;0,1,0)</formula>
    </cfRule>
    <cfRule type="expression" dxfId="2042" priority="1358">
      <formula>IF(VLOOKUP($AO$3,requiredAttributePTDMap,MATCH($A9,attributeMapFeedProductType,0)+1,FALSE)&gt;0,1,0)</formula>
    </cfRule>
    <cfRule type="expression" dxfId="2041" priority="1359">
      <formula>IF(VLOOKUP($AO$3,optionalAttributePTDMap,MATCH($A9,attributeMapFeedProductType,0)+1,FALSE)&gt;0,1,0)</formula>
    </cfRule>
    <cfRule type="expression" dxfId="2040" priority="1360">
      <formula>IF(VLOOKUP($AO$3,preferredAttributePTDMap,MATCH($A9,attributeMapFeedProductType,0)+1,FALSE)&gt;0,1,0)</formula>
    </cfRule>
    <cfRule type="expression" dxfId="2039" priority="1361">
      <formula>AND(IF(IFERROR(VLOOKUP($AO$3,requiredAttributePTDMap,MATCH($A9,attributeMapFeedProductType,0)+1,FALSE),0)&gt;0,0,1),IF(IFERROR(VLOOKUP($AO$3,optionalAttributePTDMap,MATCH($A9,attributeMapFeedProductType,0)+1,FALSE),0)&gt;0,0,1),IF(IFERROR(VLOOKUP($AO$3,preferredAttributePTDMap,MATCH($A9,attributeMapFeedProductType,0)+1,FALSE),0)&gt;0,0,1),IF(IFERROR(MATCH($A9,attributeMapFeedProductType,0),0)&gt;0,1,0))</formula>
    </cfRule>
  </conditionalFormatting>
  <conditionalFormatting sqref="AP9:AP12">
    <cfRule type="expression" dxfId="2038" priority="1362">
      <formula>IF(LEN(AP9)&gt;0,1,0)</formula>
    </cfRule>
    <cfRule type="expression" dxfId="2037" priority="1363">
      <formula>IF(VLOOKUP($AP$3,requiredAttributePTDMap,MATCH($A9,attributeMapFeedProductType,0)+1,FALSE)&gt;0,1,0)</formula>
    </cfRule>
    <cfRule type="expression" dxfId="2036" priority="1364">
      <formula>IF(VLOOKUP($AP$3,optionalAttributePTDMap,MATCH($A9,attributeMapFeedProductType,0)+1,FALSE)&gt;0,1,0)</formula>
    </cfRule>
    <cfRule type="expression" dxfId="2035" priority="1365">
      <formula>IF(VLOOKUP($AP$3,preferredAttributePTDMap,MATCH($A9,attributeMapFeedProductType,0)+1,FALSE)&gt;0,1,0)</formula>
    </cfRule>
    <cfRule type="expression" dxfId="2034" priority="1366">
      <formula>AND(IF(IFERROR(VLOOKUP($AP$3,requiredAttributePTDMap,MATCH($A9,attributeMapFeedProductType,0)+1,FALSE),0)&gt;0,0,1),IF(IFERROR(VLOOKUP($AP$3,optionalAttributePTDMap,MATCH($A9,attributeMapFeedProductType,0)+1,FALSE),0)&gt;0,0,1),IF(IFERROR(VLOOKUP($AP$3,preferredAttributePTDMap,MATCH($A9,attributeMapFeedProductType,0)+1,FALSE),0)&gt;0,0,1),IF(IFERROR(MATCH($A9,attributeMapFeedProductType,0),0)&gt;0,1,0))</formula>
    </cfRule>
  </conditionalFormatting>
  <conditionalFormatting sqref="AQ9:AQ12">
    <cfRule type="expression" dxfId="2033" priority="1367">
      <formula>IF(LEN(AQ9)&gt;0,1,0)</formula>
    </cfRule>
    <cfRule type="expression" dxfId="2032" priority="1368">
      <formula>IF(VLOOKUP($AQ$3,requiredAttributePTDMap,MATCH($A9,attributeMapFeedProductType,0)+1,FALSE)&gt;0,1,0)</formula>
    </cfRule>
    <cfRule type="expression" dxfId="2031" priority="1369">
      <formula>IF(VLOOKUP($AQ$3,optionalAttributePTDMap,MATCH($A9,attributeMapFeedProductType,0)+1,FALSE)&gt;0,1,0)</formula>
    </cfRule>
    <cfRule type="expression" dxfId="2030" priority="1370">
      <formula>IF(VLOOKUP($AQ$3,preferredAttributePTDMap,MATCH($A9,attributeMapFeedProductType,0)+1,FALSE)&gt;0,1,0)</formula>
    </cfRule>
    <cfRule type="expression" dxfId="2029" priority="1371">
      <formula>AND(IF(IFERROR(VLOOKUP($AQ$3,requiredAttributePTDMap,MATCH($A9,attributeMapFeedProductType,0)+1,FALSE),0)&gt;0,0,1),IF(IFERROR(VLOOKUP($AQ$3,optionalAttributePTDMap,MATCH($A9,attributeMapFeedProductType,0)+1,FALSE),0)&gt;0,0,1),IF(IFERROR(VLOOKUP($AQ$3,preferredAttributePTDMap,MATCH($A9,attributeMapFeedProductType,0)+1,FALSE),0)&gt;0,0,1),IF(IFERROR(MATCH($A9,attributeMapFeedProductType,0),0)&gt;0,1,0))</formula>
    </cfRule>
  </conditionalFormatting>
  <conditionalFormatting sqref="AR9:AR12">
    <cfRule type="expression" dxfId="2028" priority="1372">
      <formula>IF(LEN(AR9)&gt;0,1,0)</formula>
    </cfRule>
    <cfRule type="expression" dxfId="2027" priority="1373">
      <formula>IF(VLOOKUP($AR$3,requiredAttributePTDMap,MATCH($A9,attributeMapFeedProductType,0)+1,FALSE)&gt;0,1,0)</formula>
    </cfRule>
    <cfRule type="expression" dxfId="2026" priority="1374">
      <formula>IF(VLOOKUP($AR$3,optionalAttributePTDMap,MATCH($A9,attributeMapFeedProductType,0)+1,FALSE)&gt;0,1,0)</formula>
    </cfRule>
    <cfRule type="expression" dxfId="2025" priority="1375">
      <formula>IF(VLOOKUP($AR$3,preferredAttributePTDMap,MATCH($A9,attributeMapFeedProductType,0)+1,FALSE)&gt;0,1,0)</formula>
    </cfRule>
    <cfRule type="expression" dxfId="2024" priority="1376">
      <formula>AND(IF(IFERROR(VLOOKUP($AR$3,requiredAttributePTDMap,MATCH($A9,attributeMapFeedProductType,0)+1,FALSE),0)&gt;0,0,1),IF(IFERROR(VLOOKUP($AR$3,optionalAttributePTDMap,MATCH($A9,attributeMapFeedProductType,0)+1,FALSE),0)&gt;0,0,1),IF(IFERROR(VLOOKUP($AR$3,preferredAttributePTDMap,MATCH($A9,attributeMapFeedProductType,0)+1,FALSE),0)&gt;0,0,1),IF(IFERROR(MATCH($A9,attributeMapFeedProductType,0),0)&gt;0,1,0))</formula>
    </cfRule>
  </conditionalFormatting>
  <conditionalFormatting sqref="AS9:AS12">
    <cfRule type="expression" dxfId="2023" priority="1377">
      <formula>IF(LEN(AS9)&gt;0,1,0)</formula>
    </cfRule>
    <cfRule type="expression" dxfId="2022" priority="1378">
      <formula>IF(VLOOKUP($AS$3,requiredAttributePTDMap,MATCH($A9,attributeMapFeedProductType,0)+1,FALSE)&gt;0,1,0)</formula>
    </cfRule>
    <cfRule type="expression" dxfId="2021" priority="1379">
      <formula>IF(VLOOKUP($AS$3,optionalAttributePTDMap,MATCH($A9,attributeMapFeedProductType,0)+1,FALSE)&gt;0,1,0)</formula>
    </cfRule>
    <cfRule type="expression" dxfId="2020" priority="1380">
      <formula>IF(VLOOKUP($AS$3,preferredAttributePTDMap,MATCH($A9,attributeMapFeedProductType,0)+1,FALSE)&gt;0,1,0)</formula>
    </cfRule>
    <cfRule type="expression" dxfId="2019" priority="1381">
      <formula>AND(IF(IFERROR(VLOOKUP($AS$3,requiredAttributePTDMap,MATCH($A9,attributeMapFeedProductType,0)+1,FALSE),0)&gt;0,0,1),IF(IFERROR(VLOOKUP($AS$3,optionalAttributePTDMap,MATCH($A9,attributeMapFeedProductType,0)+1,FALSE),0)&gt;0,0,1),IF(IFERROR(VLOOKUP($AS$3,preferredAttributePTDMap,MATCH($A9,attributeMapFeedProductType,0)+1,FALSE),0)&gt;0,0,1),IF(IFERROR(MATCH($A9,attributeMapFeedProductType,0),0)&gt;0,1,0))</formula>
    </cfRule>
  </conditionalFormatting>
  <conditionalFormatting sqref="AT9:AT12">
    <cfRule type="expression" dxfId="2018" priority="1382">
      <formula>IF(LEN(AT9)&gt;0,1,0)</formula>
    </cfRule>
    <cfRule type="expression" dxfId="2017" priority="1383">
      <formula>IF(VLOOKUP($AT$3,requiredAttributePTDMap,MATCH($A9,attributeMapFeedProductType,0)+1,FALSE)&gt;0,1,0)</formula>
    </cfRule>
    <cfRule type="expression" dxfId="2016" priority="1384">
      <formula>IF(VLOOKUP($AT$3,optionalAttributePTDMap,MATCH($A9,attributeMapFeedProductType,0)+1,FALSE)&gt;0,1,0)</formula>
    </cfRule>
    <cfRule type="expression" dxfId="2015" priority="1385">
      <formula>IF(VLOOKUP($AT$3,preferredAttributePTDMap,MATCH($A9,attributeMapFeedProductType,0)+1,FALSE)&gt;0,1,0)</formula>
    </cfRule>
    <cfRule type="expression" dxfId="2014" priority="1386">
      <formula>AND(IF(IFERROR(VLOOKUP($AT$3,requiredAttributePTDMap,MATCH($A9,attributeMapFeedProductType,0)+1,FALSE),0)&gt;0,0,1),IF(IFERROR(VLOOKUP($AT$3,optionalAttributePTDMap,MATCH($A9,attributeMapFeedProductType,0)+1,FALSE),0)&gt;0,0,1),IF(IFERROR(VLOOKUP($AT$3,preferredAttributePTDMap,MATCH($A9,attributeMapFeedProductType,0)+1,FALSE),0)&gt;0,0,1),IF(IFERROR(MATCH($A9,attributeMapFeedProductType,0),0)&gt;0,1,0))</formula>
    </cfRule>
  </conditionalFormatting>
  <conditionalFormatting sqref="AU9:AU12">
    <cfRule type="expression" dxfId="2013" priority="1387">
      <formula>IF(LEN(AU9)&gt;0,1,0)</formula>
    </cfRule>
    <cfRule type="expression" dxfId="2012" priority="1388">
      <formula>IF(VLOOKUP($AU$3,requiredAttributePTDMap,MATCH($A9,attributeMapFeedProductType,0)+1,FALSE)&gt;0,1,0)</formula>
    </cfRule>
    <cfRule type="expression" dxfId="2011" priority="1389">
      <formula>IF(VLOOKUP($AU$3,optionalAttributePTDMap,MATCH($A9,attributeMapFeedProductType,0)+1,FALSE)&gt;0,1,0)</formula>
    </cfRule>
    <cfRule type="expression" dxfId="2010" priority="1390">
      <formula>IF(VLOOKUP($AU$3,preferredAttributePTDMap,MATCH($A9,attributeMapFeedProductType,0)+1,FALSE)&gt;0,1,0)</formula>
    </cfRule>
    <cfRule type="expression" dxfId="2009" priority="1391">
      <formula>AND(IF(IFERROR(VLOOKUP($AU$3,requiredAttributePTDMap,MATCH($A9,attributeMapFeedProductType,0)+1,FALSE),0)&gt;0,0,1),IF(IFERROR(VLOOKUP($AU$3,optionalAttributePTDMap,MATCH($A9,attributeMapFeedProductType,0)+1,FALSE),0)&gt;0,0,1),IF(IFERROR(VLOOKUP($AU$3,preferredAttributePTDMap,MATCH($A9,attributeMapFeedProductType,0)+1,FALSE),0)&gt;0,0,1),IF(IFERROR(MATCH($A9,attributeMapFeedProductType,0),0)&gt;0,1,0))</formula>
    </cfRule>
  </conditionalFormatting>
  <conditionalFormatting sqref="AV9:AV12">
    <cfRule type="expression" dxfId="2008" priority="1392">
      <formula>IF(LEN(AV9)&gt;0,1,0)</formula>
    </cfRule>
    <cfRule type="expression" dxfId="2007" priority="1393">
      <formula>IF(VLOOKUP($AV$3,requiredAttributePTDMap,MATCH($A9,attributeMapFeedProductType,0)+1,FALSE)&gt;0,1,0)</formula>
    </cfRule>
    <cfRule type="expression" dxfId="2006" priority="1394">
      <formula>IF(VLOOKUP($AV$3,optionalAttributePTDMap,MATCH($A9,attributeMapFeedProductType,0)+1,FALSE)&gt;0,1,0)</formula>
    </cfRule>
    <cfRule type="expression" dxfId="2005" priority="1395">
      <formula>IF(VLOOKUP($AV$3,preferredAttributePTDMap,MATCH($A9,attributeMapFeedProductType,0)+1,FALSE)&gt;0,1,0)</formula>
    </cfRule>
    <cfRule type="expression" dxfId="2004" priority="1396">
      <formula>AND(IF(IFERROR(VLOOKUP($AV$3,requiredAttributePTDMap,MATCH($A9,attributeMapFeedProductType,0)+1,FALSE),0)&gt;0,0,1),IF(IFERROR(VLOOKUP($AV$3,optionalAttributePTDMap,MATCH($A9,attributeMapFeedProductType,0)+1,FALSE),0)&gt;0,0,1),IF(IFERROR(VLOOKUP($AV$3,preferredAttributePTDMap,MATCH($A9,attributeMapFeedProductType,0)+1,FALSE),0)&gt;0,0,1),IF(IFERROR(MATCH($A9,attributeMapFeedProductType,0),0)&gt;0,1,0))</formula>
    </cfRule>
  </conditionalFormatting>
  <conditionalFormatting sqref="AW9:AW12">
    <cfRule type="expression" dxfId="2003" priority="1397">
      <formula>IF(LEN(AW9)&gt;0,1,0)</formula>
    </cfRule>
    <cfRule type="expression" dxfId="2002" priority="1398">
      <formula>IF(VLOOKUP($AW$3,requiredAttributePTDMap,MATCH($A9,attributeMapFeedProductType,0)+1,FALSE)&gt;0,1,0)</formula>
    </cfRule>
    <cfRule type="expression" dxfId="2001" priority="1399">
      <formula>IF(VLOOKUP($AW$3,optionalAttributePTDMap,MATCH($A9,attributeMapFeedProductType,0)+1,FALSE)&gt;0,1,0)</formula>
    </cfRule>
    <cfRule type="expression" dxfId="2000" priority="1400">
      <formula>IF(VLOOKUP($AW$3,preferredAttributePTDMap,MATCH($A9,attributeMapFeedProductType,0)+1,FALSE)&gt;0,1,0)</formula>
    </cfRule>
    <cfRule type="expression" dxfId="1999" priority="1401">
      <formula>AND(IF(IFERROR(VLOOKUP($AW$3,requiredAttributePTDMap,MATCH($A9,attributeMapFeedProductType,0)+1,FALSE),0)&gt;0,0,1),IF(IFERROR(VLOOKUP($AW$3,optionalAttributePTDMap,MATCH($A9,attributeMapFeedProductType,0)+1,FALSE),0)&gt;0,0,1),IF(IFERROR(VLOOKUP($AW$3,preferredAttributePTDMap,MATCH($A9,attributeMapFeedProductType,0)+1,FALSE),0)&gt;0,0,1),IF(IFERROR(MATCH($A9,attributeMapFeedProductType,0),0)&gt;0,1,0))</formula>
    </cfRule>
  </conditionalFormatting>
  <conditionalFormatting sqref="AX9:AX12">
    <cfRule type="expression" dxfId="1998" priority="1402">
      <formula>IF(LEN(AX9)&gt;0,1,0)</formula>
    </cfRule>
    <cfRule type="expression" dxfId="1997" priority="1403">
      <formula>IF(VLOOKUP($AX$3,requiredAttributePTDMap,MATCH($A9,attributeMapFeedProductType,0)+1,FALSE)&gt;0,1,0)</formula>
    </cfRule>
    <cfRule type="expression" dxfId="1996" priority="1404">
      <formula>IF(VLOOKUP($AX$3,optionalAttributePTDMap,MATCH($A9,attributeMapFeedProductType,0)+1,FALSE)&gt;0,1,0)</formula>
    </cfRule>
    <cfRule type="expression" dxfId="1995" priority="1405">
      <formula>IF(VLOOKUP($AX$3,preferredAttributePTDMap,MATCH($A9,attributeMapFeedProductType,0)+1,FALSE)&gt;0,1,0)</formula>
    </cfRule>
    <cfRule type="expression" dxfId="1994" priority="1406">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AY9:AY12">
    <cfRule type="expression" dxfId="1993" priority="1407">
      <formula>IF(LEN(AY9)&gt;0,1,0)</formula>
    </cfRule>
    <cfRule type="expression" dxfId="1992" priority="1408">
      <formula>IF(VLOOKUP($AY$3,requiredAttributePTDMap,MATCH($A9,attributeMapFeedProductType,0)+1,FALSE)&gt;0,1,0)</formula>
    </cfRule>
    <cfRule type="expression" dxfId="1991" priority="1409">
      <formula>IF(VLOOKUP($AY$3,optionalAttributePTDMap,MATCH($A9,attributeMapFeedProductType,0)+1,FALSE)&gt;0,1,0)</formula>
    </cfRule>
    <cfRule type="expression" dxfId="1990" priority="1410">
      <formula>IF(VLOOKUP($AY$3,preferredAttributePTDMap,MATCH($A9,attributeMapFeedProductType,0)+1,FALSE)&gt;0,1,0)</formula>
    </cfRule>
    <cfRule type="expression" dxfId="1989" priority="1411">
      <formula>AND(IF(IFERROR(VLOOKUP($AY$3,requiredAttributePTDMap,MATCH($A9,attributeMapFeedProductType,0)+1,FALSE),0)&gt;0,0,1),IF(IFERROR(VLOOKUP($AY$3,optionalAttributePTDMap,MATCH($A9,attributeMapFeedProductType,0)+1,FALSE),0)&gt;0,0,1),IF(IFERROR(VLOOKUP($AY$3,preferredAttributePTDMap,MATCH($A9,attributeMapFeedProductType,0)+1,FALSE),0)&gt;0,0,1),IF(IFERROR(MATCH($A9,attributeMapFeedProductType,0),0)&gt;0,1,0))</formula>
    </cfRule>
  </conditionalFormatting>
  <conditionalFormatting sqref="AZ9:AZ12">
    <cfRule type="expression" dxfId="1988" priority="1412">
      <formula>IF(LEN(AZ9)&gt;0,1,0)</formula>
    </cfRule>
    <cfRule type="expression" dxfId="1987" priority="1413">
      <formula>IF(VLOOKUP($AZ$3,requiredAttributePTDMap,MATCH($A9,attributeMapFeedProductType,0)+1,FALSE)&gt;0,1,0)</formula>
    </cfRule>
    <cfRule type="expression" dxfId="1986" priority="1414">
      <formula>IF(VLOOKUP($AZ$3,optionalAttributePTDMap,MATCH($A9,attributeMapFeedProductType,0)+1,FALSE)&gt;0,1,0)</formula>
    </cfRule>
    <cfRule type="expression" dxfId="1985" priority="1415">
      <formula>IF(VLOOKUP($AZ$3,preferredAttributePTDMap,MATCH($A9,attributeMapFeedProductType,0)+1,FALSE)&gt;0,1,0)</formula>
    </cfRule>
    <cfRule type="expression" dxfId="1984" priority="1416">
      <formula>AND(IF(IFERROR(VLOOKUP($AZ$3,requiredAttributePTDMap,MATCH($A9,attributeMapFeedProductType,0)+1,FALSE),0)&gt;0,0,1),IF(IFERROR(VLOOKUP($AZ$3,optionalAttributePTDMap,MATCH($A9,attributeMapFeedProductType,0)+1,FALSE),0)&gt;0,0,1),IF(IFERROR(VLOOKUP($AZ$3,preferredAttributePTDMap,MATCH($A9,attributeMapFeedProductType,0)+1,FALSE),0)&gt;0,0,1),IF(IFERROR(MATCH($A9,attributeMapFeedProductType,0),0)&gt;0,1,0))</formula>
    </cfRule>
  </conditionalFormatting>
  <conditionalFormatting sqref="BA9:BA12">
    <cfRule type="expression" dxfId="1983" priority="1417">
      <formula>IF(LEN(BA9)&gt;0,1,0)</formula>
    </cfRule>
    <cfRule type="expression" dxfId="1982" priority="1418">
      <formula>IF(VLOOKUP($BA$3,requiredAttributePTDMap,MATCH($A9,attributeMapFeedProductType,0)+1,FALSE)&gt;0,1,0)</formula>
    </cfRule>
    <cfRule type="expression" dxfId="1981" priority="1419">
      <formula>IF(VLOOKUP($BA$3,optionalAttributePTDMap,MATCH($A9,attributeMapFeedProductType,0)+1,FALSE)&gt;0,1,0)</formula>
    </cfRule>
    <cfRule type="expression" dxfId="1980" priority="1420">
      <formula>IF(VLOOKUP($BA$3,preferredAttributePTDMap,MATCH($A9,attributeMapFeedProductType,0)+1,FALSE)&gt;0,1,0)</formula>
    </cfRule>
    <cfRule type="expression" dxfId="1979" priority="1421">
      <formula>AND(IF(IFERROR(VLOOKUP($BA$3,requiredAttributePTDMap,MATCH($A9,attributeMapFeedProductType,0)+1,FALSE),0)&gt;0,0,1),IF(IFERROR(VLOOKUP($BA$3,optionalAttributePTDMap,MATCH($A9,attributeMapFeedProductType,0)+1,FALSE),0)&gt;0,0,1),IF(IFERROR(VLOOKUP($BA$3,preferredAttributePTDMap,MATCH($A9,attributeMapFeedProductType,0)+1,FALSE),0)&gt;0,0,1),IF(IFERROR(MATCH($A9,attributeMapFeedProductType,0),0)&gt;0,1,0))</formula>
    </cfRule>
  </conditionalFormatting>
  <conditionalFormatting sqref="BB9:BB12">
    <cfRule type="expression" dxfId="1978" priority="1422">
      <formula>IF(LEN(BB9)&gt;0,1,0)</formula>
    </cfRule>
    <cfRule type="expression" dxfId="1977" priority="1423">
      <formula>IF(VLOOKUP($BB$3,requiredAttributePTDMap,MATCH($A9,attributeMapFeedProductType,0)+1,FALSE)&gt;0,1,0)</formula>
    </cfRule>
    <cfRule type="expression" dxfId="1976" priority="1424">
      <formula>IF(VLOOKUP($BB$3,optionalAttributePTDMap,MATCH($A9,attributeMapFeedProductType,0)+1,FALSE)&gt;0,1,0)</formula>
    </cfRule>
    <cfRule type="expression" dxfId="1975" priority="1425">
      <formula>IF(VLOOKUP($BB$3,preferredAttributePTDMap,MATCH($A9,attributeMapFeedProductType,0)+1,FALSE)&gt;0,1,0)</formula>
    </cfRule>
    <cfRule type="expression" dxfId="1974" priority="1426">
      <formula>AND(IF(IFERROR(VLOOKUP($BB$3,requiredAttributePTDMap,MATCH($A9,attributeMapFeedProductType,0)+1,FALSE),0)&gt;0,0,1),IF(IFERROR(VLOOKUP($BB$3,optionalAttributePTDMap,MATCH($A9,attributeMapFeedProductType,0)+1,FALSE),0)&gt;0,0,1),IF(IFERROR(VLOOKUP($BB$3,preferredAttributePTDMap,MATCH($A9,attributeMapFeedProductType,0)+1,FALSE),0)&gt;0,0,1),IF(IFERROR(MATCH($A9,attributeMapFeedProductType,0),0)&gt;0,1,0))</formula>
    </cfRule>
  </conditionalFormatting>
  <conditionalFormatting sqref="BC9:BC12">
    <cfRule type="expression" dxfId="1973" priority="1427">
      <formula>IF(LEN(BC9)&gt;0,1,0)</formula>
    </cfRule>
    <cfRule type="expression" dxfId="1972" priority="1428">
      <formula>IF(VLOOKUP($BC$3,requiredAttributePTDMap,MATCH($A9,attributeMapFeedProductType,0)+1,FALSE)&gt;0,1,0)</formula>
    </cfRule>
    <cfRule type="expression" dxfId="1971" priority="1429">
      <formula>IF(VLOOKUP($BC$3,optionalAttributePTDMap,MATCH($A9,attributeMapFeedProductType,0)+1,FALSE)&gt;0,1,0)</formula>
    </cfRule>
    <cfRule type="expression" dxfId="1970" priority="1430">
      <formula>IF(VLOOKUP($BC$3,preferredAttributePTDMap,MATCH($A9,attributeMapFeedProductType,0)+1,FALSE)&gt;0,1,0)</formula>
    </cfRule>
    <cfRule type="expression" dxfId="1969" priority="1431">
      <formula>AND(IF(IFERROR(VLOOKUP($BC$3,requiredAttributePTDMap,MATCH($A9,attributeMapFeedProductType,0)+1,FALSE),0)&gt;0,0,1),IF(IFERROR(VLOOKUP($BC$3,optionalAttributePTDMap,MATCH($A9,attributeMapFeedProductType,0)+1,FALSE),0)&gt;0,0,1),IF(IFERROR(VLOOKUP($BC$3,preferredAttributePTDMap,MATCH($A9,attributeMapFeedProductType,0)+1,FALSE),0)&gt;0,0,1),IF(IFERROR(MATCH($A9,attributeMapFeedProductType,0),0)&gt;0,1,0))</formula>
    </cfRule>
  </conditionalFormatting>
  <conditionalFormatting sqref="BD9:BD12">
    <cfRule type="expression" dxfId="1968" priority="1432">
      <formula>IF(LEN(BD9)&gt;0,1,0)</formula>
    </cfRule>
    <cfRule type="expression" dxfId="1967" priority="1433">
      <formula>IF(VLOOKUP($BD$3,requiredAttributePTDMap,MATCH($A9,attributeMapFeedProductType,0)+1,FALSE)&gt;0,1,0)</formula>
    </cfRule>
    <cfRule type="expression" dxfId="1966" priority="1434">
      <formula>IF(VLOOKUP($BD$3,optionalAttributePTDMap,MATCH($A9,attributeMapFeedProductType,0)+1,FALSE)&gt;0,1,0)</formula>
    </cfRule>
    <cfRule type="expression" dxfId="1965" priority="1435">
      <formula>IF(VLOOKUP($BD$3,preferredAttributePTDMap,MATCH($A9,attributeMapFeedProductType,0)+1,FALSE)&gt;0,1,0)</formula>
    </cfRule>
    <cfRule type="expression" dxfId="1964" priority="1436">
      <formula>AND(IF(IFERROR(VLOOKUP($BD$3,requiredAttributePTDMap,MATCH($A9,attributeMapFeedProductType,0)+1,FALSE),0)&gt;0,0,1),IF(IFERROR(VLOOKUP($BD$3,optionalAttributePTDMap,MATCH($A9,attributeMapFeedProductType,0)+1,FALSE),0)&gt;0,0,1),IF(IFERROR(VLOOKUP($BD$3,preferredAttributePTDMap,MATCH($A9,attributeMapFeedProductType,0)+1,FALSE),0)&gt;0,0,1),IF(IFERROR(MATCH($A9,attributeMapFeedProductType,0),0)&gt;0,1,0))</formula>
    </cfRule>
  </conditionalFormatting>
  <conditionalFormatting sqref="BE9:BE12">
    <cfRule type="expression" dxfId="1963" priority="1437">
      <formula>IF(LEN(BE9)&gt;0,1,0)</formula>
    </cfRule>
    <cfRule type="expression" dxfId="1962" priority="1438">
      <formula>IF(VLOOKUP($BE$3,requiredAttributePTDMap,MATCH($A9,attributeMapFeedProductType,0)+1,FALSE)&gt;0,1,0)</formula>
    </cfRule>
    <cfRule type="expression" dxfId="1961" priority="1439">
      <formula>IF(VLOOKUP($BE$3,optionalAttributePTDMap,MATCH($A9,attributeMapFeedProductType,0)+1,FALSE)&gt;0,1,0)</formula>
    </cfRule>
    <cfRule type="expression" dxfId="1960" priority="1440">
      <formula>IF(VLOOKUP($BE$3,preferredAttributePTDMap,MATCH($A9,attributeMapFeedProductType,0)+1,FALSE)&gt;0,1,0)</formula>
    </cfRule>
    <cfRule type="expression" dxfId="1959" priority="1441">
      <formula>AND(IF(IFERROR(VLOOKUP($BE$3,requiredAttributePTDMap,MATCH($A9,attributeMapFeedProductType,0)+1,FALSE),0)&gt;0,0,1),IF(IFERROR(VLOOKUP($BE$3,optionalAttributePTDMap,MATCH($A9,attributeMapFeedProductType,0)+1,FALSE),0)&gt;0,0,1),IF(IFERROR(VLOOKUP($BE$3,preferredAttributePTDMap,MATCH($A9,attributeMapFeedProductType,0)+1,FALSE),0)&gt;0,0,1),IF(IFERROR(MATCH($A9,attributeMapFeedProductType,0),0)&gt;0,1,0))</formula>
    </cfRule>
  </conditionalFormatting>
  <conditionalFormatting sqref="BF9:BF12">
    <cfRule type="expression" dxfId="1958" priority="1442">
      <formula>IF(LEN(BF9)&gt;0,1,0)</formula>
    </cfRule>
    <cfRule type="expression" dxfId="1957" priority="1443">
      <formula>IF(VLOOKUP($BF$3,requiredAttributePTDMap,MATCH($A9,attributeMapFeedProductType,0)+1,FALSE)&gt;0,1,0)</formula>
    </cfRule>
    <cfRule type="expression" dxfId="1956" priority="1444">
      <formula>IF(VLOOKUP($BF$3,optionalAttributePTDMap,MATCH($A9,attributeMapFeedProductType,0)+1,FALSE)&gt;0,1,0)</formula>
    </cfRule>
    <cfRule type="expression" dxfId="1955" priority="1445">
      <formula>IF(VLOOKUP($BF$3,preferredAttributePTDMap,MATCH($A9,attributeMapFeedProductType,0)+1,FALSE)&gt;0,1,0)</formula>
    </cfRule>
    <cfRule type="expression" dxfId="1954" priority="1446">
      <formula>AND(IF(IFERROR(VLOOKUP($BF$3,requiredAttributePTDMap,MATCH($A9,attributeMapFeedProductType,0)+1,FALSE),0)&gt;0,0,1),IF(IFERROR(VLOOKUP($BF$3,optionalAttributePTDMap,MATCH($A9,attributeMapFeedProductType,0)+1,FALSE),0)&gt;0,0,1),IF(IFERROR(VLOOKUP($BF$3,preferredAttributePTDMap,MATCH($A9,attributeMapFeedProductType,0)+1,FALSE),0)&gt;0,0,1),IF(IFERROR(MATCH($A9,attributeMapFeedProductType,0),0)&gt;0,1,0))</formula>
    </cfRule>
  </conditionalFormatting>
  <conditionalFormatting sqref="BG9:BG12">
    <cfRule type="expression" dxfId="1953" priority="1447">
      <formula>IF(LEN(BG9)&gt;0,1,0)</formula>
    </cfRule>
    <cfRule type="expression" dxfId="1952" priority="1448">
      <formula>IF(VLOOKUP($BG$3,requiredAttributePTDMap,MATCH($A9,attributeMapFeedProductType,0)+1,FALSE)&gt;0,1,0)</formula>
    </cfRule>
    <cfRule type="expression" dxfId="1951" priority="1449">
      <formula>IF(VLOOKUP($BG$3,optionalAttributePTDMap,MATCH($A9,attributeMapFeedProductType,0)+1,FALSE)&gt;0,1,0)</formula>
    </cfRule>
    <cfRule type="expression" dxfId="1950" priority="1450">
      <formula>IF(VLOOKUP($BG$3,preferredAttributePTDMap,MATCH($A9,attributeMapFeedProductType,0)+1,FALSE)&gt;0,1,0)</formula>
    </cfRule>
    <cfRule type="expression" dxfId="1949" priority="1451">
      <formula>AND(IF(IFERROR(VLOOKUP($BG$3,requiredAttributePTDMap,MATCH($A9,attributeMapFeedProductType,0)+1,FALSE),0)&gt;0,0,1),IF(IFERROR(VLOOKUP($BG$3,optionalAttributePTDMap,MATCH($A9,attributeMapFeedProductType,0)+1,FALSE),0)&gt;0,0,1),IF(IFERROR(VLOOKUP($BG$3,preferredAttributePTDMap,MATCH($A9,attributeMapFeedProductType,0)+1,FALSE),0)&gt;0,0,1),IF(IFERROR(MATCH($A9,attributeMapFeedProductType,0),0)&gt;0,1,0))</formula>
    </cfRule>
  </conditionalFormatting>
  <conditionalFormatting sqref="BH9:BH12">
    <cfRule type="expression" dxfId="1948" priority="1452">
      <formula>IF(LEN(BH9)&gt;0,1,0)</formula>
    </cfRule>
    <cfRule type="expression" dxfId="1947" priority="1453">
      <formula>IF(VLOOKUP($BH$3,requiredAttributePTDMap,MATCH($A9,attributeMapFeedProductType,0)+1,FALSE)&gt;0,1,0)</formula>
    </cfRule>
    <cfRule type="expression" dxfId="1946" priority="1454">
      <formula>IF(VLOOKUP($BH$3,optionalAttributePTDMap,MATCH($A9,attributeMapFeedProductType,0)+1,FALSE)&gt;0,1,0)</formula>
    </cfRule>
    <cfRule type="expression" dxfId="1945" priority="1455">
      <formula>IF(VLOOKUP($BH$3,preferredAttributePTDMap,MATCH($A9,attributeMapFeedProductType,0)+1,FALSE)&gt;0,1,0)</formula>
    </cfRule>
    <cfRule type="expression" dxfId="1944" priority="1456">
      <formula>AND(IF(IFERROR(VLOOKUP($BH$3,requiredAttributePTDMap,MATCH($A9,attributeMapFeedProductType,0)+1,FALSE),0)&gt;0,0,1),IF(IFERROR(VLOOKUP($BH$3,optionalAttributePTDMap,MATCH($A9,attributeMapFeedProductType,0)+1,FALSE),0)&gt;0,0,1),IF(IFERROR(VLOOKUP($BH$3,preferredAttributePTDMap,MATCH($A9,attributeMapFeedProductType,0)+1,FALSE),0)&gt;0,0,1),IF(IFERROR(MATCH($A9,attributeMapFeedProductType,0),0)&gt;0,1,0))</formula>
    </cfRule>
  </conditionalFormatting>
  <conditionalFormatting sqref="BI9:BI12">
    <cfRule type="expression" dxfId="1943" priority="1457">
      <formula>IF(LEN(BI9)&gt;0,1,0)</formula>
    </cfRule>
    <cfRule type="expression" dxfId="1942" priority="1458">
      <formula>IF(VLOOKUP($BI$3,requiredAttributePTDMap,MATCH($A9,attributeMapFeedProductType,0)+1,FALSE)&gt;0,1,0)</formula>
    </cfRule>
    <cfRule type="expression" dxfId="1941" priority="1459">
      <formula>IF(VLOOKUP($BI$3,optionalAttributePTDMap,MATCH($A9,attributeMapFeedProductType,0)+1,FALSE)&gt;0,1,0)</formula>
    </cfRule>
    <cfRule type="expression" dxfId="1940" priority="1460">
      <formula>IF(VLOOKUP($BI$3,preferredAttributePTDMap,MATCH($A9,attributeMapFeedProductType,0)+1,FALSE)&gt;0,1,0)</formula>
    </cfRule>
    <cfRule type="expression" dxfId="1939" priority="1461">
      <formula>AND(IF(IFERROR(VLOOKUP($BI$3,requiredAttributePTDMap,MATCH($A9,attributeMapFeedProductType,0)+1,FALSE),0)&gt;0,0,1),IF(IFERROR(VLOOKUP($BI$3,optionalAttributePTDMap,MATCH($A9,attributeMapFeedProductType,0)+1,FALSE),0)&gt;0,0,1),IF(IFERROR(VLOOKUP($BI$3,preferredAttributePTDMap,MATCH($A9,attributeMapFeedProductType,0)+1,FALSE),0)&gt;0,0,1),IF(IFERROR(MATCH($A9,attributeMapFeedProductType,0),0)&gt;0,1,0))</formula>
    </cfRule>
  </conditionalFormatting>
  <conditionalFormatting sqref="BJ9:BJ12">
    <cfRule type="expression" dxfId="1938" priority="1462">
      <formula>IF(LEN(BJ9)&gt;0,1,0)</formula>
    </cfRule>
    <cfRule type="expression" dxfId="1937" priority="1463">
      <formula>IF(VLOOKUP($BJ$3,requiredAttributePTDMap,MATCH($A9,attributeMapFeedProductType,0)+1,FALSE)&gt;0,1,0)</formula>
    </cfRule>
    <cfRule type="expression" dxfId="1936" priority="1464">
      <formula>IF(VLOOKUP($BJ$3,optionalAttributePTDMap,MATCH($A9,attributeMapFeedProductType,0)+1,FALSE)&gt;0,1,0)</formula>
    </cfRule>
    <cfRule type="expression" dxfId="1935" priority="1465">
      <formula>IF(VLOOKUP($BJ$3,preferredAttributePTDMap,MATCH($A9,attributeMapFeedProductType,0)+1,FALSE)&gt;0,1,0)</formula>
    </cfRule>
    <cfRule type="expression" dxfId="1934" priority="1466">
      <formula>AND(IF(IFERROR(VLOOKUP($BJ$3,requiredAttributePTDMap,MATCH($A9,attributeMapFeedProductType,0)+1,FALSE),0)&gt;0,0,1),IF(IFERROR(VLOOKUP($BJ$3,optionalAttributePTDMap,MATCH($A9,attributeMapFeedProductType,0)+1,FALSE),0)&gt;0,0,1),IF(IFERROR(VLOOKUP($BJ$3,preferredAttributePTDMap,MATCH($A9,attributeMapFeedProductType,0)+1,FALSE),0)&gt;0,0,1),IF(IFERROR(MATCH($A9,attributeMapFeedProductType,0),0)&gt;0,1,0))</formula>
    </cfRule>
  </conditionalFormatting>
  <conditionalFormatting sqref="BK9:BK12">
    <cfRule type="expression" dxfId="1933" priority="1467">
      <formula>IF(LEN(BK9)&gt;0,1,0)</formula>
    </cfRule>
    <cfRule type="expression" dxfId="1932" priority="1468">
      <formula>IF(VLOOKUP($BK$3,requiredAttributePTDMap,MATCH($A9,attributeMapFeedProductType,0)+1,FALSE)&gt;0,1,0)</formula>
    </cfRule>
    <cfRule type="expression" dxfId="1931" priority="1469">
      <formula>IF(VLOOKUP($BK$3,optionalAttributePTDMap,MATCH($A9,attributeMapFeedProductType,0)+1,FALSE)&gt;0,1,0)</formula>
    </cfRule>
    <cfRule type="expression" dxfId="1930" priority="1470">
      <formula>IF(VLOOKUP($BK$3,preferredAttributePTDMap,MATCH($A9,attributeMapFeedProductType,0)+1,FALSE)&gt;0,1,0)</formula>
    </cfRule>
    <cfRule type="expression" dxfId="1929" priority="1471">
      <formula>AND(IF(IFERROR(VLOOKUP($BK$3,requiredAttributePTDMap,MATCH($A9,attributeMapFeedProductType,0)+1,FALSE),0)&gt;0,0,1),IF(IFERROR(VLOOKUP($BK$3,optionalAttributePTDMap,MATCH($A9,attributeMapFeedProductType,0)+1,FALSE),0)&gt;0,0,1),IF(IFERROR(VLOOKUP($BK$3,preferredAttributePTDMap,MATCH($A9,attributeMapFeedProductType,0)+1,FALSE),0)&gt;0,0,1),IF(IFERROR(MATCH($A9,attributeMapFeedProductType,0),0)&gt;0,1,0))</formula>
    </cfRule>
  </conditionalFormatting>
  <conditionalFormatting sqref="BL9:BL12">
    <cfRule type="expression" dxfId="1928" priority="1472">
      <formula>IF(LEN(BL9)&gt;0,1,0)</formula>
    </cfRule>
    <cfRule type="expression" dxfId="1927" priority="1473">
      <formula>IF(VLOOKUP($BL$3,requiredAttributePTDMap,MATCH($A9,attributeMapFeedProductType,0)+1,FALSE)&gt;0,1,0)</formula>
    </cfRule>
    <cfRule type="expression" dxfId="1926" priority="1474">
      <formula>IF(VLOOKUP($BL$3,optionalAttributePTDMap,MATCH($A9,attributeMapFeedProductType,0)+1,FALSE)&gt;0,1,0)</formula>
    </cfRule>
    <cfRule type="expression" dxfId="1925" priority="1475">
      <formula>IF(VLOOKUP($BL$3,preferredAttributePTDMap,MATCH($A9,attributeMapFeedProductType,0)+1,FALSE)&gt;0,1,0)</formula>
    </cfRule>
    <cfRule type="expression" dxfId="1924" priority="1476">
      <formula>AND(IF(IFERROR(VLOOKUP($BL$3,requiredAttributePTDMap,MATCH($A9,attributeMapFeedProductType,0)+1,FALSE),0)&gt;0,0,1),IF(IFERROR(VLOOKUP($BL$3,optionalAttributePTDMap,MATCH($A9,attributeMapFeedProductType,0)+1,FALSE),0)&gt;0,0,1),IF(IFERROR(VLOOKUP($BL$3,preferredAttributePTDMap,MATCH($A9,attributeMapFeedProductType,0)+1,FALSE),0)&gt;0,0,1),IF(IFERROR(MATCH($A9,attributeMapFeedProductType,0),0)&gt;0,1,0))</formula>
    </cfRule>
  </conditionalFormatting>
  <conditionalFormatting sqref="BM9:BM12">
    <cfRule type="expression" dxfId="1923" priority="1477">
      <formula>IF(LEN(BM9)&gt;0,1,0)</formula>
    </cfRule>
    <cfRule type="expression" dxfId="1922" priority="1478">
      <formula>IF(VLOOKUP($BM$3,requiredAttributePTDMap,MATCH($A9,attributeMapFeedProductType,0)+1,FALSE)&gt;0,1,0)</formula>
    </cfRule>
    <cfRule type="expression" dxfId="1921" priority="1479">
      <formula>IF(VLOOKUP($BM$3,optionalAttributePTDMap,MATCH($A9,attributeMapFeedProductType,0)+1,FALSE)&gt;0,1,0)</formula>
    </cfRule>
    <cfRule type="expression" dxfId="1920" priority="1480">
      <formula>IF(VLOOKUP($BM$3,preferredAttributePTDMap,MATCH($A9,attributeMapFeedProductType,0)+1,FALSE)&gt;0,1,0)</formula>
    </cfRule>
    <cfRule type="expression" dxfId="1919" priority="1481">
      <formula>AND(IF(IFERROR(VLOOKUP($BM$3,requiredAttributePTDMap,MATCH($A9,attributeMapFeedProductType,0)+1,FALSE),0)&gt;0,0,1),IF(IFERROR(VLOOKUP($BM$3,optionalAttributePTDMap,MATCH($A9,attributeMapFeedProductType,0)+1,FALSE),0)&gt;0,0,1),IF(IFERROR(VLOOKUP($BM$3,preferredAttributePTDMap,MATCH($A9,attributeMapFeedProductType,0)+1,FALSE),0)&gt;0,0,1),IF(IFERROR(MATCH($A9,attributeMapFeedProductType,0),0)&gt;0,1,0))</formula>
    </cfRule>
  </conditionalFormatting>
  <conditionalFormatting sqref="BN9:BN12">
    <cfRule type="expression" dxfId="1918" priority="1482">
      <formula>IF(LEN(BN9)&gt;0,1,0)</formula>
    </cfRule>
    <cfRule type="expression" dxfId="1917" priority="1483">
      <formula>IF(VLOOKUP($BN$3,requiredAttributePTDMap,MATCH($A9,attributeMapFeedProductType,0)+1,FALSE)&gt;0,1,0)</formula>
    </cfRule>
    <cfRule type="expression" dxfId="1916" priority="1484">
      <formula>IF(VLOOKUP($BN$3,optionalAttributePTDMap,MATCH($A9,attributeMapFeedProductType,0)+1,FALSE)&gt;0,1,0)</formula>
    </cfRule>
    <cfRule type="expression" dxfId="1915" priority="1485">
      <formula>IF(VLOOKUP($BN$3,preferredAttributePTDMap,MATCH($A9,attributeMapFeedProductType,0)+1,FALSE)&gt;0,1,0)</formula>
    </cfRule>
    <cfRule type="expression" dxfId="1914" priority="1486">
      <formula>AND(IF(IFERROR(VLOOKUP($BN$3,requiredAttributePTDMap,MATCH($A9,attributeMapFeedProductType,0)+1,FALSE),0)&gt;0,0,1),IF(IFERROR(VLOOKUP($BN$3,optionalAttributePTDMap,MATCH($A9,attributeMapFeedProductType,0)+1,FALSE),0)&gt;0,0,1),IF(IFERROR(VLOOKUP($BN$3,preferredAttributePTDMap,MATCH($A9,attributeMapFeedProductType,0)+1,FALSE),0)&gt;0,0,1),IF(IFERROR(MATCH($A9,attributeMapFeedProductType,0),0)&gt;0,1,0))</formula>
    </cfRule>
  </conditionalFormatting>
  <conditionalFormatting sqref="BO9:BO12">
    <cfRule type="expression" dxfId="1913" priority="1487">
      <formula>IF(LEN(BO9)&gt;0,1,0)</formula>
    </cfRule>
    <cfRule type="expression" dxfId="1912" priority="1488">
      <formula>IF(VLOOKUP($BO$3,requiredAttributePTDMap,MATCH($A9,attributeMapFeedProductType,0)+1,FALSE)&gt;0,1,0)</formula>
    </cfRule>
    <cfRule type="expression" dxfId="1911" priority="1489">
      <formula>IF(VLOOKUP($BO$3,optionalAttributePTDMap,MATCH($A9,attributeMapFeedProductType,0)+1,FALSE)&gt;0,1,0)</formula>
    </cfRule>
    <cfRule type="expression" dxfId="1910" priority="1490">
      <formula>IF(VLOOKUP($BO$3,preferredAttributePTDMap,MATCH($A9,attributeMapFeedProductType,0)+1,FALSE)&gt;0,1,0)</formula>
    </cfRule>
    <cfRule type="expression" dxfId="1909" priority="1491">
      <formula>AND(IF(IFERROR(VLOOKUP($BO$3,requiredAttributePTDMap,MATCH($A9,attributeMapFeedProductType,0)+1,FALSE),0)&gt;0,0,1),IF(IFERROR(VLOOKUP($BO$3,optionalAttributePTDMap,MATCH($A9,attributeMapFeedProductType,0)+1,FALSE),0)&gt;0,0,1),IF(IFERROR(VLOOKUP($BO$3,preferredAttributePTDMap,MATCH($A9,attributeMapFeedProductType,0)+1,FALSE),0)&gt;0,0,1),IF(IFERROR(MATCH($A9,attributeMapFeedProductType,0),0)&gt;0,1,0))</formula>
    </cfRule>
  </conditionalFormatting>
  <conditionalFormatting sqref="BP9:BP12">
    <cfRule type="expression" dxfId="1908" priority="1492">
      <formula>IF(LEN(BP9)&gt;0,1,0)</formula>
    </cfRule>
    <cfRule type="expression" dxfId="1907" priority="1493">
      <formula>IF(VLOOKUP($BP$3,requiredAttributePTDMap,MATCH($A9,attributeMapFeedProductType,0)+1,FALSE)&gt;0,1,0)</formula>
    </cfRule>
    <cfRule type="expression" dxfId="1906" priority="1494">
      <formula>IF(VLOOKUP($BP$3,optionalAttributePTDMap,MATCH($A9,attributeMapFeedProductType,0)+1,FALSE)&gt;0,1,0)</formula>
    </cfRule>
    <cfRule type="expression" dxfId="1905" priority="1495">
      <formula>IF(VLOOKUP($BP$3,preferredAttributePTDMap,MATCH($A9,attributeMapFeedProductType,0)+1,FALSE)&gt;0,1,0)</formula>
    </cfRule>
    <cfRule type="expression" dxfId="1904" priority="1496">
      <formula>AND(IF(IFERROR(VLOOKUP($BP$3,requiredAttributePTDMap,MATCH($A9,attributeMapFeedProductType,0)+1,FALSE),0)&gt;0,0,1),IF(IFERROR(VLOOKUP($BP$3,optionalAttributePTDMap,MATCH($A9,attributeMapFeedProductType,0)+1,FALSE),0)&gt;0,0,1),IF(IFERROR(VLOOKUP($BP$3,preferredAttributePTDMap,MATCH($A9,attributeMapFeedProductType,0)+1,FALSE),0)&gt;0,0,1),IF(IFERROR(MATCH($A9,attributeMapFeedProductType,0),0)&gt;0,1,0))</formula>
    </cfRule>
  </conditionalFormatting>
  <conditionalFormatting sqref="BQ9:BQ12">
    <cfRule type="expression" dxfId="1903" priority="1497">
      <formula>IF(LEN(BQ9)&gt;0,1,0)</formula>
    </cfRule>
    <cfRule type="expression" dxfId="1902" priority="1498">
      <formula>IF(VLOOKUP($BQ$3,requiredAttributePTDMap,MATCH($A9,attributeMapFeedProductType,0)+1,FALSE)&gt;0,1,0)</formula>
    </cfRule>
    <cfRule type="expression" dxfId="1901" priority="1499">
      <formula>IF(VLOOKUP($BQ$3,optionalAttributePTDMap,MATCH($A9,attributeMapFeedProductType,0)+1,FALSE)&gt;0,1,0)</formula>
    </cfRule>
    <cfRule type="expression" dxfId="1900" priority="1500">
      <formula>IF(VLOOKUP($BQ$3,preferredAttributePTDMap,MATCH($A9,attributeMapFeedProductType,0)+1,FALSE)&gt;0,1,0)</formula>
    </cfRule>
    <cfRule type="expression" dxfId="1899" priority="1501">
      <formula>AND(IF(IFERROR(VLOOKUP($BQ$3,requiredAttributePTDMap,MATCH($A9,attributeMapFeedProductType,0)+1,FALSE),0)&gt;0,0,1),IF(IFERROR(VLOOKUP($BQ$3,optionalAttributePTDMap,MATCH($A9,attributeMapFeedProductType,0)+1,FALSE),0)&gt;0,0,1),IF(IFERROR(VLOOKUP($BQ$3,preferredAttributePTDMap,MATCH($A9,attributeMapFeedProductType,0)+1,FALSE),0)&gt;0,0,1),IF(IFERROR(MATCH($A9,attributeMapFeedProductType,0),0)&gt;0,1,0))</formula>
    </cfRule>
  </conditionalFormatting>
  <conditionalFormatting sqref="BR9:BR12">
    <cfRule type="expression" dxfId="1898" priority="1502">
      <formula>IF(LEN(BR9)&gt;0,1,0)</formula>
    </cfRule>
    <cfRule type="expression" dxfId="1897" priority="1503">
      <formula>IF(VLOOKUP($BR$3,requiredAttributePTDMap,MATCH($A9,attributeMapFeedProductType,0)+1,FALSE)&gt;0,1,0)</formula>
    </cfRule>
    <cfRule type="expression" dxfId="1896" priority="1504">
      <formula>IF(VLOOKUP($BR$3,optionalAttributePTDMap,MATCH($A9,attributeMapFeedProductType,0)+1,FALSE)&gt;0,1,0)</formula>
    </cfRule>
    <cfRule type="expression" dxfId="1895" priority="1505">
      <formula>IF(VLOOKUP($BR$3,preferredAttributePTDMap,MATCH($A9,attributeMapFeedProductType,0)+1,FALSE)&gt;0,1,0)</formula>
    </cfRule>
    <cfRule type="expression" dxfId="1894" priority="1506">
      <formula>AND(IF(IFERROR(VLOOKUP($BR$3,requiredAttributePTDMap,MATCH($A9,attributeMapFeedProductType,0)+1,FALSE),0)&gt;0,0,1),IF(IFERROR(VLOOKUP($BR$3,optionalAttributePTDMap,MATCH($A9,attributeMapFeedProductType,0)+1,FALSE),0)&gt;0,0,1),IF(IFERROR(VLOOKUP($BR$3,preferredAttributePTDMap,MATCH($A9,attributeMapFeedProductType,0)+1,FALSE),0)&gt;0,0,1),IF(IFERROR(MATCH($A9,attributeMapFeedProductType,0),0)&gt;0,1,0))</formula>
    </cfRule>
  </conditionalFormatting>
  <conditionalFormatting sqref="BS9:BS12">
    <cfRule type="expression" dxfId="1893" priority="1507">
      <formula>IF(LEN(BS9)&gt;0,1,0)</formula>
    </cfRule>
    <cfRule type="expression" dxfId="1892" priority="1508">
      <formula>IF(VLOOKUP($BS$3,requiredAttributePTDMap,MATCH($A9,attributeMapFeedProductType,0)+1,FALSE)&gt;0,1,0)</formula>
    </cfRule>
    <cfRule type="expression" dxfId="1891" priority="1509">
      <formula>IF(VLOOKUP($BS$3,optionalAttributePTDMap,MATCH($A9,attributeMapFeedProductType,0)+1,FALSE)&gt;0,1,0)</formula>
    </cfRule>
    <cfRule type="expression" dxfId="1890" priority="1510">
      <formula>IF(VLOOKUP($BS$3,preferredAttributePTDMap,MATCH($A9,attributeMapFeedProductType,0)+1,FALSE)&gt;0,1,0)</formula>
    </cfRule>
    <cfRule type="expression" dxfId="1889" priority="1511">
      <formula>AND(IF(IFERROR(VLOOKUP($BS$3,requiredAttributePTDMap,MATCH($A9,attributeMapFeedProductType,0)+1,FALSE),0)&gt;0,0,1),IF(IFERROR(VLOOKUP($BS$3,optionalAttributePTDMap,MATCH($A9,attributeMapFeedProductType,0)+1,FALSE),0)&gt;0,0,1),IF(IFERROR(VLOOKUP($BS$3,preferredAttributePTDMap,MATCH($A9,attributeMapFeedProductType,0)+1,FALSE),0)&gt;0,0,1),IF(IFERROR(MATCH($A9,attributeMapFeedProductType,0),0)&gt;0,1,0))</formula>
    </cfRule>
  </conditionalFormatting>
  <conditionalFormatting sqref="BT9:BT12">
    <cfRule type="expression" dxfId="1888" priority="1512">
      <formula>IF(LEN(BT9)&gt;0,1,0)</formula>
    </cfRule>
    <cfRule type="expression" dxfId="1887" priority="1513">
      <formula>IF(VLOOKUP($BT$3,requiredAttributePTDMap,MATCH($A9,attributeMapFeedProductType,0)+1,FALSE)&gt;0,1,0)</formula>
    </cfRule>
    <cfRule type="expression" dxfId="1886" priority="1514">
      <formula>IF(VLOOKUP($BT$3,optionalAttributePTDMap,MATCH($A9,attributeMapFeedProductType,0)+1,FALSE)&gt;0,1,0)</formula>
    </cfRule>
    <cfRule type="expression" dxfId="1885" priority="1515">
      <formula>IF(VLOOKUP($BT$3,preferredAttributePTDMap,MATCH($A9,attributeMapFeedProductType,0)+1,FALSE)&gt;0,1,0)</formula>
    </cfRule>
    <cfRule type="expression" dxfId="1884" priority="1516">
      <formula>AND(IF(IFERROR(VLOOKUP($BT$3,requiredAttributePTDMap,MATCH($A9,attributeMapFeedProductType,0)+1,FALSE),0)&gt;0,0,1),IF(IFERROR(VLOOKUP($BT$3,optionalAttributePTDMap,MATCH($A9,attributeMapFeedProductType,0)+1,FALSE),0)&gt;0,0,1),IF(IFERROR(VLOOKUP($BT$3,preferredAttributePTDMap,MATCH($A9,attributeMapFeedProductType,0)+1,FALSE),0)&gt;0,0,1),IF(IFERROR(MATCH($A9,attributeMapFeedProductType,0),0)&gt;0,1,0))</formula>
    </cfRule>
  </conditionalFormatting>
  <conditionalFormatting sqref="BU9:BU12">
    <cfRule type="expression" dxfId="1883" priority="1517">
      <formula>IF(LEN(BU9)&gt;0,1,0)</formula>
    </cfRule>
    <cfRule type="expression" dxfId="1882" priority="1518">
      <formula>IF(VLOOKUP($BU$3,requiredAttributePTDMap,MATCH($A9,attributeMapFeedProductType,0)+1,FALSE)&gt;0,1,0)</formula>
    </cfRule>
    <cfRule type="expression" dxfId="1881" priority="1519">
      <formula>IF(VLOOKUP($BU$3,optionalAttributePTDMap,MATCH($A9,attributeMapFeedProductType,0)+1,FALSE)&gt;0,1,0)</formula>
    </cfRule>
    <cfRule type="expression" dxfId="1880" priority="1520">
      <formula>IF(VLOOKUP($BU$3,preferredAttributePTDMap,MATCH($A9,attributeMapFeedProductType,0)+1,FALSE)&gt;0,1,0)</formula>
    </cfRule>
    <cfRule type="expression" dxfId="1879" priority="1521">
      <formula>AND(IF(IFERROR(VLOOKUP($BU$3,requiredAttributePTDMap,MATCH($A9,attributeMapFeedProductType,0)+1,FALSE),0)&gt;0,0,1),IF(IFERROR(VLOOKUP($BU$3,optionalAttributePTDMap,MATCH($A9,attributeMapFeedProductType,0)+1,FALSE),0)&gt;0,0,1),IF(IFERROR(VLOOKUP($BU$3,preferredAttributePTDMap,MATCH($A9,attributeMapFeedProductType,0)+1,FALSE),0)&gt;0,0,1),IF(IFERROR(MATCH($A9,attributeMapFeedProductType,0),0)&gt;0,1,0))</formula>
    </cfRule>
  </conditionalFormatting>
  <conditionalFormatting sqref="BV9:BV12">
    <cfRule type="expression" dxfId="1878" priority="1522">
      <formula>IF(LEN(BV9)&gt;0,1,0)</formula>
    </cfRule>
    <cfRule type="expression" dxfId="1877" priority="1523">
      <formula>IF(VLOOKUP($BV$3,requiredAttributePTDMap,MATCH($A9,attributeMapFeedProductType,0)+1,FALSE)&gt;0,1,0)</formula>
    </cfRule>
    <cfRule type="expression" dxfId="1876" priority="1524">
      <formula>IF(VLOOKUP($BV$3,optionalAttributePTDMap,MATCH($A9,attributeMapFeedProductType,0)+1,FALSE)&gt;0,1,0)</formula>
    </cfRule>
    <cfRule type="expression" dxfId="1875" priority="1525">
      <formula>IF(VLOOKUP($BV$3,preferredAttributePTDMap,MATCH($A9,attributeMapFeedProductType,0)+1,FALSE)&gt;0,1,0)</formula>
    </cfRule>
    <cfRule type="expression" dxfId="1874" priority="1526">
      <formula>AND(IF(IFERROR(VLOOKUP($BV$3,requiredAttributePTDMap,MATCH($A9,attributeMapFeedProductType,0)+1,FALSE),0)&gt;0,0,1),IF(IFERROR(VLOOKUP($BV$3,optionalAttributePTDMap,MATCH($A9,attributeMapFeedProductType,0)+1,FALSE),0)&gt;0,0,1),IF(IFERROR(VLOOKUP($BV$3,preferredAttributePTDMap,MATCH($A9,attributeMapFeedProductType,0)+1,FALSE),0)&gt;0,0,1),IF(IFERROR(MATCH($A9,attributeMapFeedProductType,0),0)&gt;0,1,0))</formula>
    </cfRule>
  </conditionalFormatting>
  <conditionalFormatting sqref="BW9:BW12">
    <cfRule type="expression" dxfId="1873" priority="1527">
      <formula>IF(LEN(BW9)&gt;0,1,0)</formula>
    </cfRule>
    <cfRule type="expression" dxfId="1872" priority="1528">
      <formula>IF(VLOOKUP($BW$3,requiredAttributePTDMap,MATCH($A9,attributeMapFeedProductType,0)+1,FALSE)&gt;0,1,0)</formula>
    </cfRule>
    <cfRule type="expression" dxfId="1871" priority="1529">
      <formula>IF(VLOOKUP($BW$3,optionalAttributePTDMap,MATCH($A9,attributeMapFeedProductType,0)+1,FALSE)&gt;0,1,0)</formula>
    </cfRule>
    <cfRule type="expression" dxfId="1870" priority="1530">
      <formula>IF(VLOOKUP($BW$3,preferredAttributePTDMap,MATCH($A9,attributeMapFeedProductType,0)+1,FALSE)&gt;0,1,0)</formula>
    </cfRule>
    <cfRule type="expression" dxfId="1869" priority="1531">
      <formula>AND(IF(IFERROR(VLOOKUP($BW$3,requiredAttributePTDMap,MATCH($A9,attributeMapFeedProductType,0)+1,FALSE),0)&gt;0,0,1),IF(IFERROR(VLOOKUP($BW$3,optionalAttributePTDMap,MATCH($A9,attributeMapFeedProductType,0)+1,FALSE),0)&gt;0,0,1),IF(IFERROR(VLOOKUP($BW$3,preferredAttributePTDMap,MATCH($A9,attributeMapFeedProductType,0)+1,FALSE),0)&gt;0,0,1),IF(IFERROR(MATCH($A9,attributeMapFeedProductType,0),0)&gt;0,1,0))</formula>
    </cfRule>
  </conditionalFormatting>
  <conditionalFormatting sqref="BX9:BX12">
    <cfRule type="expression" dxfId="1868" priority="1532">
      <formula>IF(LEN(BX9)&gt;0,1,0)</formula>
    </cfRule>
    <cfRule type="expression" dxfId="1867" priority="1533">
      <formula>IF(VLOOKUP($BX$3,requiredAttributePTDMap,MATCH($A9,attributeMapFeedProductType,0)+1,FALSE)&gt;0,1,0)</formula>
    </cfRule>
    <cfRule type="expression" dxfId="1866" priority="1534">
      <formula>IF(VLOOKUP($BX$3,optionalAttributePTDMap,MATCH($A9,attributeMapFeedProductType,0)+1,FALSE)&gt;0,1,0)</formula>
    </cfRule>
    <cfRule type="expression" dxfId="1865" priority="1535">
      <formula>IF(VLOOKUP($BX$3,preferredAttributePTDMap,MATCH($A9,attributeMapFeedProductType,0)+1,FALSE)&gt;0,1,0)</formula>
    </cfRule>
    <cfRule type="expression" dxfId="1864" priority="1536">
      <formula>AND(IF(IFERROR(VLOOKUP($BX$3,requiredAttributePTDMap,MATCH($A9,attributeMapFeedProductType,0)+1,FALSE),0)&gt;0,0,1),IF(IFERROR(VLOOKUP($BX$3,optionalAttributePTDMap,MATCH($A9,attributeMapFeedProductType,0)+1,FALSE),0)&gt;0,0,1),IF(IFERROR(VLOOKUP($BX$3,preferredAttributePTDMap,MATCH($A9,attributeMapFeedProductType,0)+1,FALSE),0)&gt;0,0,1),IF(IFERROR(MATCH($A9,attributeMapFeedProductType,0),0)&gt;0,1,0))</formula>
    </cfRule>
  </conditionalFormatting>
  <conditionalFormatting sqref="BY9:BY12">
    <cfRule type="expression" dxfId="1863" priority="1537">
      <formula>IF(LEN(BY9)&gt;0,1,0)</formula>
    </cfRule>
    <cfRule type="expression" dxfId="1862" priority="1538">
      <formula>IF(VLOOKUP($BY$3,requiredAttributePTDMap,MATCH($A9,attributeMapFeedProductType,0)+1,FALSE)&gt;0,1,0)</formula>
    </cfRule>
    <cfRule type="expression" dxfId="1861" priority="1539">
      <formula>IF(VLOOKUP($BY$3,optionalAttributePTDMap,MATCH($A9,attributeMapFeedProductType,0)+1,FALSE)&gt;0,1,0)</formula>
    </cfRule>
    <cfRule type="expression" dxfId="1860" priority="1540">
      <formula>IF(VLOOKUP($BY$3,preferredAttributePTDMap,MATCH($A9,attributeMapFeedProductType,0)+1,FALSE)&gt;0,1,0)</formula>
    </cfRule>
    <cfRule type="expression" dxfId="1859" priority="1541">
      <formula>AND(IF(IFERROR(VLOOKUP($BY$3,requiredAttributePTDMap,MATCH($A9,attributeMapFeedProductType,0)+1,FALSE),0)&gt;0,0,1),IF(IFERROR(VLOOKUP($BY$3,optionalAttributePTDMap,MATCH($A9,attributeMapFeedProductType,0)+1,FALSE),0)&gt;0,0,1),IF(IFERROR(VLOOKUP($BY$3,preferredAttributePTDMap,MATCH($A9,attributeMapFeedProductType,0)+1,FALSE),0)&gt;0,0,1),IF(IFERROR(MATCH($A9,attributeMapFeedProductType,0),0)&gt;0,1,0))</formula>
    </cfRule>
  </conditionalFormatting>
  <conditionalFormatting sqref="BZ9:BZ12">
    <cfRule type="expression" dxfId="1858" priority="1542">
      <formula>IF(LEN(BZ9)&gt;0,1,0)</formula>
    </cfRule>
    <cfRule type="expression" dxfId="1857" priority="1543">
      <formula>IF(VLOOKUP($BZ$3,requiredAttributePTDMap,MATCH($A9,attributeMapFeedProductType,0)+1,FALSE)&gt;0,1,0)</formula>
    </cfRule>
    <cfRule type="expression" dxfId="1856" priority="1544">
      <formula>IF(VLOOKUP($BZ$3,optionalAttributePTDMap,MATCH($A9,attributeMapFeedProductType,0)+1,FALSE)&gt;0,1,0)</formula>
    </cfRule>
    <cfRule type="expression" dxfId="1855" priority="1545">
      <formula>IF(VLOOKUP($BZ$3,preferredAttributePTDMap,MATCH($A9,attributeMapFeedProductType,0)+1,FALSE)&gt;0,1,0)</formula>
    </cfRule>
    <cfRule type="expression" dxfId="1854" priority="1546">
      <formula>AND(IF(IFERROR(VLOOKUP($BZ$3,requiredAttributePTDMap,MATCH($A9,attributeMapFeedProductType,0)+1,FALSE),0)&gt;0,0,1),IF(IFERROR(VLOOKUP($BZ$3,optionalAttributePTDMap,MATCH($A9,attributeMapFeedProductType,0)+1,FALSE),0)&gt;0,0,1),IF(IFERROR(VLOOKUP($BZ$3,preferredAttributePTDMap,MATCH($A9,attributeMapFeedProductType,0)+1,FALSE),0)&gt;0,0,1),IF(IFERROR(MATCH($A9,attributeMapFeedProductType,0),0)&gt;0,1,0))</formula>
    </cfRule>
  </conditionalFormatting>
  <conditionalFormatting sqref="CA9:CA12">
    <cfRule type="expression" dxfId="1853" priority="1547">
      <formula>IF(LEN(CA9)&gt;0,1,0)</formula>
    </cfRule>
    <cfRule type="expression" dxfId="1852" priority="1548">
      <formula>IF(VLOOKUP($CA$3,requiredAttributePTDMap,MATCH($A9,attributeMapFeedProductType,0)+1,FALSE)&gt;0,1,0)</formula>
    </cfRule>
    <cfRule type="expression" dxfId="1851" priority="1549">
      <formula>IF(VLOOKUP($CA$3,optionalAttributePTDMap,MATCH($A9,attributeMapFeedProductType,0)+1,FALSE)&gt;0,1,0)</formula>
    </cfRule>
    <cfRule type="expression" dxfId="1850" priority="1550">
      <formula>IF(VLOOKUP($CA$3,preferredAttributePTDMap,MATCH($A9,attributeMapFeedProductType,0)+1,FALSE)&gt;0,1,0)</formula>
    </cfRule>
    <cfRule type="expression" dxfId="1849" priority="1551">
      <formula>AND(IF(IFERROR(VLOOKUP($CA$3,requiredAttributePTDMap,MATCH($A9,attributeMapFeedProductType,0)+1,FALSE),0)&gt;0,0,1),IF(IFERROR(VLOOKUP($CA$3,optionalAttributePTDMap,MATCH($A9,attributeMapFeedProductType,0)+1,FALSE),0)&gt;0,0,1),IF(IFERROR(VLOOKUP($CA$3,preferredAttributePTDMap,MATCH($A9,attributeMapFeedProductType,0)+1,FALSE),0)&gt;0,0,1),IF(IFERROR(MATCH($A9,attributeMapFeedProductType,0),0)&gt;0,1,0))</formula>
    </cfRule>
  </conditionalFormatting>
  <conditionalFormatting sqref="CB9:CB12">
    <cfRule type="expression" dxfId="1848" priority="1552">
      <formula>IF(LEN(CB9)&gt;0,1,0)</formula>
    </cfRule>
    <cfRule type="expression" dxfId="1847" priority="1553">
      <formula>IF(VLOOKUP($CB$3,requiredAttributePTDMap,MATCH($A9,attributeMapFeedProductType,0)+1,FALSE)&gt;0,1,0)</formula>
    </cfRule>
    <cfRule type="expression" dxfId="1846" priority="1554">
      <formula>IF(VLOOKUP($CB$3,optionalAttributePTDMap,MATCH($A9,attributeMapFeedProductType,0)+1,FALSE)&gt;0,1,0)</formula>
    </cfRule>
    <cfRule type="expression" dxfId="1845" priority="1555">
      <formula>IF(VLOOKUP($CB$3,preferredAttributePTDMap,MATCH($A9,attributeMapFeedProductType,0)+1,FALSE)&gt;0,1,0)</formula>
    </cfRule>
    <cfRule type="expression" dxfId="1844" priority="1556">
      <formula>AND(IF(IFERROR(VLOOKUP($CB$3,requiredAttributePTDMap,MATCH($A9,attributeMapFeedProductType,0)+1,FALSE),0)&gt;0,0,1),IF(IFERROR(VLOOKUP($CB$3,optionalAttributePTDMap,MATCH($A9,attributeMapFeedProductType,0)+1,FALSE),0)&gt;0,0,1),IF(IFERROR(VLOOKUP($CB$3,preferredAttributePTDMap,MATCH($A9,attributeMapFeedProductType,0)+1,FALSE),0)&gt;0,0,1),IF(IFERROR(MATCH($A9,attributeMapFeedProductType,0),0)&gt;0,1,0))</formula>
    </cfRule>
  </conditionalFormatting>
  <conditionalFormatting sqref="CC9:CC12">
    <cfRule type="expression" dxfId="1843" priority="1557">
      <formula>IF(LEN(CC9)&gt;0,1,0)</formula>
    </cfRule>
    <cfRule type="expression" dxfId="1842" priority="1558">
      <formula>IF(VLOOKUP($CC$3,requiredAttributePTDMap,MATCH($A9,attributeMapFeedProductType,0)+1,FALSE)&gt;0,1,0)</formula>
    </cfRule>
    <cfRule type="expression" dxfId="1841" priority="1559">
      <formula>IF(VLOOKUP($CC$3,optionalAttributePTDMap,MATCH($A9,attributeMapFeedProductType,0)+1,FALSE)&gt;0,1,0)</formula>
    </cfRule>
    <cfRule type="expression" dxfId="1840" priority="1560">
      <formula>IF(VLOOKUP($CC$3,preferredAttributePTDMap,MATCH($A9,attributeMapFeedProductType,0)+1,FALSE)&gt;0,1,0)</formula>
    </cfRule>
    <cfRule type="expression" dxfId="1839" priority="1561">
      <formula>AND(IF(IFERROR(VLOOKUP($CC$3,requiredAttributePTDMap,MATCH($A9,attributeMapFeedProductType,0)+1,FALSE),0)&gt;0,0,1),IF(IFERROR(VLOOKUP($CC$3,optionalAttributePTDMap,MATCH($A9,attributeMapFeedProductType,0)+1,FALSE),0)&gt;0,0,1),IF(IFERROR(VLOOKUP($CC$3,preferredAttributePTDMap,MATCH($A9,attributeMapFeedProductType,0)+1,FALSE),0)&gt;0,0,1),IF(IFERROR(MATCH($A9,attributeMapFeedProductType,0),0)&gt;0,1,0))</formula>
    </cfRule>
  </conditionalFormatting>
  <conditionalFormatting sqref="CD9:CD12">
    <cfRule type="expression" dxfId="1838" priority="1562">
      <formula>IF(LEN(CD9)&gt;0,1,0)</formula>
    </cfRule>
    <cfRule type="expression" dxfId="1837" priority="1563">
      <formula>IF(VLOOKUP($CD$3,requiredAttributePTDMap,MATCH($A9,attributeMapFeedProductType,0)+1,FALSE)&gt;0,1,0)</formula>
    </cfRule>
    <cfRule type="expression" dxfId="1836" priority="1564">
      <formula>IF(VLOOKUP($CD$3,optionalAttributePTDMap,MATCH($A9,attributeMapFeedProductType,0)+1,FALSE)&gt;0,1,0)</formula>
    </cfRule>
    <cfRule type="expression" dxfId="1835" priority="1565">
      <formula>IF(VLOOKUP($CD$3,preferredAttributePTDMap,MATCH($A9,attributeMapFeedProductType,0)+1,FALSE)&gt;0,1,0)</formula>
    </cfRule>
    <cfRule type="expression" dxfId="1834" priority="1566">
      <formula>AND(IF(IFERROR(VLOOKUP($CD$3,requiredAttributePTDMap,MATCH($A9,attributeMapFeedProductType,0)+1,FALSE),0)&gt;0,0,1),IF(IFERROR(VLOOKUP($CD$3,optionalAttributePTDMap,MATCH($A9,attributeMapFeedProductType,0)+1,FALSE),0)&gt;0,0,1),IF(IFERROR(VLOOKUP($CD$3,preferredAttributePTDMap,MATCH($A9,attributeMapFeedProductType,0)+1,FALSE),0)&gt;0,0,1),IF(IFERROR(MATCH($A9,attributeMapFeedProductType,0),0)&gt;0,1,0))</formula>
    </cfRule>
  </conditionalFormatting>
  <conditionalFormatting sqref="CE9:CE12">
    <cfRule type="expression" dxfId="1833" priority="1567">
      <formula>IF(LEN(CE9)&gt;0,1,0)</formula>
    </cfRule>
    <cfRule type="expression" dxfId="1832" priority="1568">
      <formula>IF(VLOOKUP($CE$3,requiredAttributePTDMap,MATCH($A9,attributeMapFeedProductType,0)+1,FALSE)&gt;0,1,0)</formula>
    </cfRule>
    <cfRule type="expression" dxfId="1831" priority="1569">
      <formula>IF(VLOOKUP($CE$3,optionalAttributePTDMap,MATCH($A9,attributeMapFeedProductType,0)+1,FALSE)&gt;0,1,0)</formula>
    </cfRule>
    <cfRule type="expression" dxfId="1830" priority="1570">
      <formula>IF(VLOOKUP($CE$3,preferredAttributePTDMap,MATCH($A9,attributeMapFeedProductType,0)+1,FALSE)&gt;0,1,0)</formula>
    </cfRule>
    <cfRule type="expression" dxfId="1829" priority="1571">
      <formula>AND(IF(IFERROR(VLOOKUP($CE$3,requiredAttributePTDMap,MATCH($A9,attributeMapFeedProductType,0)+1,FALSE),0)&gt;0,0,1),IF(IFERROR(VLOOKUP($CE$3,optionalAttributePTDMap,MATCH($A9,attributeMapFeedProductType,0)+1,FALSE),0)&gt;0,0,1),IF(IFERROR(VLOOKUP($CE$3,preferredAttributePTDMap,MATCH($A9,attributeMapFeedProductType,0)+1,FALSE),0)&gt;0,0,1),IF(IFERROR(MATCH($A9,attributeMapFeedProductType,0),0)&gt;0,1,0))</formula>
    </cfRule>
  </conditionalFormatting>
  <conditionalFormatting sqref="CF9:CF12">
    <cfRule type="expression" dxfId="1828" priority="1572">
      <formula>IF(LEN(CF9)&gt;0,1,0)</formula>
    </cfRule>
    <cfRule type="expression" dxfId="1827" priority="1573">
      <formula>IF(VLOOKUP($CF$3,requiredAttributePTDMap,MATCH($A9,attributeMapFeedProductType,0)+1,FALSE)&gt;0,1,0)</formula>
    </cfRule>
    <cfRule type="expression" dxfId="1826" priority="1574">
      <formula>IF(VLOOKUP($CF$3,optionalAttributePTDMap,MATCH($A9,attributeMapFeedProductType,0)+1,FALSE)&gt;0,1,0)</formula>
    </cfRule>
    <cfRule type="expression" dxfId="1825" priority="1575">
      <formula>IF(VLOOKUP($CF$3,preferredAttributePTDMap,MATCH($A9,attributeMapFeedProductType,0)+1,FALSE)&gt;0,1,0)</formula>
    </cfRule>
    <cfRule type="expression" dxfId="1824" priority="1576">
      <formula>AND(IF(IFERROR(VLOOKUP($CF$3,requiredAttributePTDMap,MATCH($A9,attributeMapFeedProductType,0)+1,FALSE),0)&gt;0,0,1),IF(IFERROR(VLOOKUP($CF$3,optionalAttributePTDMap,MATCH($A9,attributeMapFeedProductType,0)+1,FALSE),0)&gt;0,0,1),IF(IFERROR(VLOOKUP($CF$3,preferredAttributePTDMap,MATCH($A9,attributeMapFeedProductType,0)+1,FALSE),0)&gt;0,0,1),IF(IFERROR(MATCH($A9,attributeMapFeedProductType,0),0)&gt;0,1,0))</formula>
    </cfRule>
  </conditionalFormatting>
  <conditionalFormatting sqref="CG9:CG12">
    <cfRule type="expression" dxfId="1823" priority="1577">
      <formula>IF(LEN(CG9)&gt;0,1,0)</formula>
    </cfRule>
    <cfRule type="expression" dxfId="1822" priority="1578">
      <formula>IF(VLOOKUP($CG$3,requiredAttributePTDMap,MATCH($A9,attributeMapFeedProductType,0)+1,FALSE)&gt;0,1,0)</formula>
    </cfRule>
    <cfRule type="expression" dxfId="1821" priority="1579">
      <formula>IF(VLOOKUP($CG$3,optionalAttributePTDMap,MATCH($A9,attributeMapFeedProductType,0)+1,FALSE)&gt;0,1,0)</formula>
    </cfRule>
    <cfRule type="expression" dxfId="1820" priority="1580">
      <formula>IF(VLOOKUP($CG$3,preferredAttributePTDMap,MATCH($A9,attributeMapFeedProductType,0)+1,FALSE)&gt;0,1,0)</formula>
    </cfRule>
    <cfRule type="expression" dxfId="1819" priority="1581">
      <formula>AND(IF(IFERROR(VLOOKUP($CG$3,requiredAttributePTDMap,MATCH($A9,attributeMapFeedProductType,0)+1,FALSE),0)&gt;0,0,1),IF(IFERROR(VLOOKUP($CG$3,optionalAttributePTDMap,MATCH($A9,attributeMapFeedProductType,0)+1,FALSE),0)&gt;0,0,1),IF(IFERROR(VLOOKUP($CG$3,preferredAttributePTDMap,MATCH($A9,attributeMapFeedProductType,0)+1,FALSE),0)&gt;0,0,1),IF(IFERROR(MATCH($A9,attributeMapFeedProductType,0),0)&gt;0,1,0))</formula>
    </cfRule>
  </conditionalFormatting>
  <conditionalFormatting sqref="CI9:CI12">
    <cfRule type="expression" dxfId="1818" priority="1587">
      <formula>IF(LEN(CI9)&gt;0,1,0)</formula>
    </cfRule>
    <cfRule type="expression" dxfId="1817" priority="1588">
      <formula>IF(VLOOKUP($CI$3,requiredAttributePTDMap,MATCH($A9,attributeMapFeedProductType,0)+1,FALSE)&gt;0,1,0)</formula>
    </cfRule>
    <cfRule type="expression" dxfId="1816" priority="1589">
      <formula>IF(VLOOKUP($CI$3,optionalAttributePTDMap,MATCH($A9,attributeMapFeedProductType,0)+1,FALSE)&gt;0,1,0)</formula>
    </cfRule>
    <cfRule type="expression" dxfId="1815" priority="1590">
      <formula>IF(VLOOKUP($CI$3,preferredAttributePTDMap,MATCH($A9,attributeMapFeedProductType,0)+1,FALSE)&gt;0,1,0)</formula>
    </cfRule>
    <cfRule type="expression" dxfId="1814" priority="1591">
      <formula>AND(IF(IFERROR(VLOOKUP($CI$3,requiredAttributePTDMap,MATCH($A9,attributeMapFeedProductType,0)+1,FALSE),0)&gt;0,0,1),IF(IFERROR(VLOOKUP($CI$3,optionalAttributePTDMap,MATCH($A9,attributeMapFeedProductType,0)+1,FALSE),0)&gt;0,0,1),IF(IFERROR(VLOOKUP($CI$3,preferredAttributePTDMap,MATCH($A9,attributeMapFeedProductType,0)+1,FALSE),0)&gt;0,0,1),IF(IFERROR(MATCH($A9,attributeMapFeedProductType,0),0)&gt;0,1,0))</formula>
    </cfRule>
  </conditionalFormatting>
  <conditionalFormatting sqref="CJ9:CJ12">
    <cfRule type="expression" dxfId="1813" priority="1592">
      <formula>IF(LEN(CJ9)&gt;0,1,0)</formula>
    </cfRule>
    <cfRule type="expression" dxfId="1812" priority="1593">
      <formula>IF(VLOOKUP($CJ$3,requiredAttributePTDMap,MATCH($A9,attributeMapFeedProductType,0)+1,FALSE)&gt;0,1,0)</formula>
    </cfRule>
    <cfRule type="expression" dxfId="1811" priority="1594">
      <formula>IF(VLOOKUP($CJ$3,optionalAttributePTDMap,MATCH($A9,attributeMapFeedProductType,0)+1,FALSE)&gt;0,1,0)</formula>
    </cfRule>
    <cfRule type="expression" dxfId="1810" priority="1595">
      <formula>IF(VLOOKUP($CJ$3,preferredAttributePTDMap,MATCH($A9,attributeMapFeedProductType,0)+1,FALSE)&gt;0,1,0)</formula>
    </cfRule>
    <cfRule type="expression" dxfId="1809" priority="1596">
      <formula>AND(IF(IFERROR(VLOOKUP($CJ$3,requiredAttributePTDMap,MATCH($A9,attributeMapFeedProductType,0)+1,FALSE),0)&gt;0,0,1),IF(IFERROR(VLOOKUP($CJ$3,optionalAttributePTDMap,MATCH($A9,attributeMapFeedProductType,0)+1,FALSE),0)&gt;0,0,1),IF(IFERROR(VLOOKUP($CJ$3,preferredAttributePTDMap,MATCH($A9,attributeMapFeedProductType,0)+1,FALSE),0)&gt;0,0,1),IF(IFERROR(MATCH($A9,attributeMapFeedProductType,0),0)&gt;0,1,0))</formula>
    </cfRule>
  </conditionalFormatting>
  <conditionalFormatting sqref="CK9:CK12">
    <cfRule type="expression" dxfId="1808" priority="1597">
      <formula>IF(LEN(CK9)&gt;0,1,0)</formula>
    </cfRule>
    <cfRule type="expression" dxfId="1807" priority="1598">
      <formula>IF(VLOOKUP($CK$3,requiredAttributePTDMap,MATCH($A9,attributeMapFeedProductType,0)+1,FALSE)&gt;0,1,0)</formula>
    </cfRule>
    <cfRule type="expression" dxfId="1806" priority="1599">
      <formula>IF(VLOOKUP($CK$3,optionalAttributePTDMap,MATCH($A9,attributeMapFeedProductType,0)+1,FALSE)&gt;0,1,0)</formula>
    </cfRule>
    <cfRule type="expression" dxfId="1805" priority="1600">
      <formula>IF(VLOOKUP($CK$3,preferredAttributePTDMap,MATCH($A9,attributeMapFeedProductType,0)+1,FALSE)&gt;0,1,0)</formula>
    </cfRule>
    <cfRule type="expression" dxfId="1804" priority="1601">
      <formula>AND(IF(IFERROR(VLOOKUP($CK$3,requiredAttributePTDMap,MATCH($A9,attributeMapFeedProductType,0)+1,FALSE),0)&gt;0,0,1),IF(IFERROR(VLOOKUP($CK$3,optionalAttributePTDMap,MATCH($A9,attributeMapFeedProductType,0)+1,FALSE),0)&gt;0,0,1),IF(IFERROR(VLOOKUP($CK$3,preferredAttributePTDMap,MATCH($A9,attributeMapFeedProductType,0)+1,FALSE),0)&gt;0,0,1),IF(IFERROR(MATCH($A9,attributeMapFeedProductType,0),0)&gt;0,1,0))</formula>
    </cfRule>
  </conditionalFormatting>
  <conditionalFormatting sqref="CL9:CL12">
    <cfRule type="expression" dxfId="1803" priority="1602">
      <formula>IF(LEN(CL9)&gt;0,1,0)</formula>
    </cfRule>
    <cfRule type="expression" dxfId="1802" priority="1603">
      <formula>IF(VLOOKUP($CL$3,requiredAttributePTDMap,MATCH($A9,attributeMapFeedProductType,0)+1,FALSE)&gt;0,1,0)</formula>
    </cfRule>
    <cfRule type="expression" dxfId="1801" priority="1604">
      <formula>IF(VLOOKUP($CL$3,optionalAttributePTDMap,MATCH($A9,attributeMapFeedProductType,0)+1,FALSE)&gt;0,1,0)</formula>
    </cfRule>
    <cfRule type="expression" dxfId="1800" priority="1605">
      <formula>IF(VLOOKUP($CL$3,preferredAttributePTDMap,MATCH($A9,attributeMapFeedProductType,0)+1,FALSE)&gt;0,1,0)</formula>
    </cfRule>
    <cfRule type="expression" dxfId="1799" priority="1606">
      <formula>AND(IF(IFERROR(VLOOKUP($CL$3,requiredAttributePTDMap,MATCH($A9,attributeMapFeedProductType,0)+1,FALSE),0)&gt;0,0,1),IF(IFERROR(VLOOKUP($CL$3,optionalAttributePTDMap,MATCH($A9,attributeMapFeedProductType,0)+1,FALSE),0)&gt;0,0,1),IF(IFERROR(VLOOKUP($CL$3,preferredAttributePTDMap,MATCH($A9,attributeMapFeedProductType,0)+1,FALSE),0)&gt;0,0,1),IF(IFERROR(MATCH($A9,attributeMapFeedProductType,0),0)&gt;0,1,0))</formula>
    </cfRule>
  </conditionalFormatting>
  <conditionalFormatting sqref="CM9:CM12">
    <cfRule type="expression" dxfId="1798" priority="1607">
      <formula>IF(LEN(CM9)&gt;0,1,0)</formula>
    </cfRule>
    <cfRule type="expression" dxfId="1797" priority="1608">
      <formula>IF(VLOOKUP($CM$3,requiredAttributePTDMap,MATCH($A9,attributeMapFeedProductType,0)+1,FALSE)&gt;0,1,0)</formula>
    </cfRule>
    <cfRule type="expression" dxfId="1796" priority="1609">
      <formula>IF(VLOOKUP($CM$3,optionalAttributePTDMap,MATCH($A9,attributeMapFeedProductType,0)+1,FALSE)&gt;0,1,0)</formula>
    </cfRule>
    <cfRule type="expression" dxfId="1795" priority="1610">
      <formula>IF(VLOOKUP($CM$3,preferredAttributePTDMap,MATCH($A9,attributeMapFeedProductType,0)+1,FALSE)&gt;0,1,0)</formula>
    </cfRule>
    <cfRule type="expression" dxfId="1794" priority="1611">
      <formula>AND(IF(IFERROR(VLOOKUP($CM$3,requiredAttributePTDMap,MATCH($A9,attributeMapFeedProductType,0)+1,FALSE),0)&gt;0,0,1),IF(IFERROR(VLOOKUP($CM$3,optionalAttributePTDMap,MATCH($A9,attributeMapFeedProductType,0)+1,FALSE),0)&gt;0,0,1),IF(IFERROR(VLOOKUP($CM$3,preferredAttributePTDMap,MATCH($A9,attributeMapFeedProductType,0)+1,FALSE),0)&gt;0,0,1),IF(IFERROR(MATCH($A9,attributeMapFeedProductType,0),0)&gt;0,1,0))</formula>
    </cfRule>
  </conditionalFormatting>
  <conditionalFormatting sqref="CN9:CN12">
    <cfRule type="expression" dxfId="1793" priority="1612">
      <formula>IF(LEN(CN9)&gt;0,1,0)</formula>
    </cfRule>
    <cfRule type="expression" dxfId="1792" priority="1613">
      <formula>IF(VLOOKUP($CN$3,requiredAttributePTDMap,MATCH($A9,attributeMapFeedProductType,0)+1,FALSE)&gt;0,1,0)</formula>
    </cfRule>
    <cfRule type="expression" dxfId="1791" priority="1614">
      <formula>IF(VLOOKUP($CN$3,optionalAttributePTDMap,MATCH($A9,attributeMapFeedProductType,0)+1,FALSE)&gt;0,1,0)</formula>
    </cfRule>
    <cfRule type="expression" dxfId="1790" priority="1615">
      <formula>IF(VLOOKUP($CN$3,preferredAttributePTDMap,MATCH($A9,attributeMapFeedProductType,0)+1,FALSE)&gt;0,1,0)</formula>
    </cfRule>
    <cfRule type="expression" dxfId="1789" priority="1616">
      <formula>AND(IF(IFERROR(VLOOKUP($CN$3,requiredAttributePTDMap,MATCH($A9,attributeMapFeedProductType,0)+1,FALSE),0)&gt;0,0,1),IF(IFERROR(VLOOKUP($CN$3,optionalAttributePTDMap,MATCH($A9,attributeMapFeedProductType,0)+1,FALSE),0)&gt;0,0,1),IF(IFERROR(VLOOKUP($CN$3,preferredAttributePTDMap,MATCH($A9,attributeMapFeedProductType,0)+1,FALSE),0)&gt;0,0,1),IF(IFERROR(MATCH($A9,attributeMapFeedProductType,0),0)&gt;0,1,0))</formula>
    </cfRule>
  </conditionalFormatting>
  <conditionalFormatting sqref="CO9:CO12">
    <cfRule type="expression" dxfId="1788" priority="1617">
      <formula>IF(LEN(CO9)&gt;0,1,0)</formula>
    </cfRule>
    <cfRule type="expression" dxfId="1787" priority="1618">
      <formula>IF(VLOOKUP($CO$3,requiredAttributePTDMap,MATCH($A9,attributeMapFeedProductType,0)+1,FALSE)&gt;0,1,0)</formula>
    </cfRule>
    <cfRule type="expression" dxfId="1786" priority="1619">
      <formula>IF(VLOOKUP($CO$3,optionalAttributePTDMap,MATCH($A9,attributeMapFeedProductType,0)+1,FALSE)&gt;0,1,0)</formula>
    </cfRule>
    <cfRule type="expression" dxfId="1785" priority="1620">
      <formula>IF(VLOOKUP($CO$3,preferredAttributePTDMap,MATCH($A9,attributeMapFeedProductType,0)+1,FALSE)&gt;0,1,0)</formula>
    </cfRule>
    <cfRule type="expression" dxfId="1784" priority="1621">
      <formula>AND(IF(IFERROR(VLOOKUP($CO$3,requiredAttributePTDMap,MATCH($A9,attributeMapFeedProductType,0)+1,FALSE),0)&gt;0,0,1),IF(IFERROR(VLOOKUP($CO$3,optionalAttributePTDMap,MATCH($A9,attributeMapFeedProductType,0)+1,FALSE),0)&gt;0,0,1),IF(IFERROR(VLOOKUP($CO$3,preferredAttributePTDMap,MATCH($A9,attributeMapFeedProductType,0)+1,FALSE),0)&gt;0,0,1),IF(IFERROR(MATCH($A9,attributeMapFeedProductType,0),0)&gt;0,1,0))</formula>
    </cfRule>
  </conditionalFormatting>
  <conditionalFormatting sqref="CP9:CP12">
    <cfRule type="expression" dxfId="1783" priority="1622">
      <formula>IF(LEN(CP9)&gt;0,1,0)</formula>
    </cfRule>
    <cfRule type="expression" dxfId="1782" priority="1623">
      <formula>IF(VLOOKUP($CP$3,requiredAttributePTDMap,MATCH($A9,attributeMapFeedProductType,0)+1,FALSE)&gt;0,1,0)</formula>
    </cfRule>
    <cfRule type="expression" dxfId="1781" priority="1624">
      <formula>IF(VLOOKUP($CP$3,optionalAttributePTDMap,MATCH($A9,attributeMapFeedProductType,0)+1,FALSE)&gt;0,1,0)</formula>
    </cfRule>
    <cfRule type="expression" dxfId="1780" priority="1625">
      <formula>IF(VLOOKUP($CP$3,preferredAttributePTDMap,MATCH($A9,attributeMapFeedProductType,0)+1,FALSE)&gt;0,1,0)</formula>
    </cfRule>
    <cfRule type="expression" dxfId="1779" priority="1626">
      <formula>AND(IF(IFERROR(VLOOKUP($CP$3,requiredAttributePTDMap,MATCH($A9,attributeMapFeedProductType,0)+1,FALSE),0)&gt;0,0,1),IF(IFERROR(VLOOKUP($CP$3,optionalAttributePTDMap,MATCH($A9,attributeMapFeedProductType,0)+1,FALSE),0)&gt;0,0,1),IF(IFERROR(VLOOKUP($CP$3,preferredAttributePTDMap,MATCH($A9,attributeMapFeedProductType,0)+1,FALSE),0)&gt;0,0,1),IF(IFERROR(MATCH($A9,attributeMapFeedProductType,0),0)&gt;0,1,0))</formula>
    </cfRule>
  </conditionalFormatting>
  <conditionalFormatting sqref="CQ9:CQ12">
    <cfRule type="expression" dxfId="1778" priority="1627">
      <formula>IF(LEN(CQ9)&gt;0,1,0)</formula>
    </cfRule>
    <cfRule type="expression" dxfId="1777" priority="1628">
      <formula>IF(VLOOKUP($CQ$3,requiredAttributePTDMap,MATCH($A9,attributeMapFeedProductType,0)+1,FALSE)&gt;0,1,0)</formula>
    </cfRule>
    <cfRule type="expression" dxfId="1776" priority="1629">
      <formula>IF(VLOOKUP($CQ$3,optionalAttributePTDMap,MATCH($A9,attributeMapFeedProductType,0)+1,FALSE)&gt;0,1,0)</formula>
    </cfRule>
    <cfRule type="expression" dxfId="1775" priority="1630">
      <formula>IF(VLOOKUP($CQ$3,preferredAttributePTDMap,MATCH($A9,attributeMapFeedProductType,0)+1,FALSE)&gt;0,1,0)</formula>
    </cfRule>
    <cfRule type="expression" dxfId="1774" priority="1631">
      <formula>AND(IF(IFERROR(VLOOKUP($CQ$3,requiredAttributePTDMap,MATCH($A9,attributeMapFeedProductType,0)+1,FALSE),0)&gt;0,0,1),IF(IFERROR(VLOOKUP($CQ$3,optionalAttributePTDMap,MATCH($A9,attributeMapFeedProductType,0)+1,FALSE),0)&gt;0,0,1),IF(IFERROR(VLOOKUP($CQ$3,preferredAttributePTDMap,MATCH($A9,attributeMapFeedProductType,0)+1,FALSE),0)&gt;0,0,1),IF(IFERROR(MATCH($A9,attributeMapFeedProductType,0),0)&gt;0,1,0))</formula>
    </cfRule>
  </conditionalFormatting>
  <conditionalFormatting sqref="CR9:CR12">
    <cfRule type="expression" dxfId="1773" priority="1632">
      <formula>IF(LEN(CR9)&gt;0,1,0)</formula>
    </cfRule>
    <cfRule type="expression" dxfId="1772" priority="1633">
      <formula>IF(VLOOKUP($CR$3,requiredAttributePTDMap,MATCH($A9,attributeMapFeedProductType,0)+1,FALSE)&gt;0,1,0)</formula>
    </cfRule>
    <cfRule type="expression" dxfId="1771" priority="1634">
      <formula>IF(VLOOKUP($CR$3,optionalAttributePTDMap,MATCH($A9,attributeMapFeedProductType,0)+1,FALSE)&gt;0,1,0)</formula>
    </cfRule>
    <cfRule type="expression" dxfId="1770" priority="1635">
      <formula>IF(VLOOKUP($CR$3,preferredAttributePTDMap,MATCH($A9,attributeMapFeedProductType,0)+1,FALSE)&gt;0,1,0)</formula>
    </cfRule>
    <cfRule type="expression" dxfId="1769" priority="1636">
      <formula>AND(IF(IFERROR(VLOOKUP($CR$3,requiredAttributePTDMap,MATCH($A9,attributeMapFeedProductType,0)+1,FALSE),0)&gt;0,0,1),IF(IFERROR(VLOOKUP($CR$3,optionalAttributePTDMap,MATCH($A9,attributeMapFeedProductType,0)+1,FALSE),0)&gt;0,0,1),IF(IFERROR(VLOOKUP($CR$3,preferredAttributePTDMap,MATCH($A9,attributeMapFeedProductType,0)+1,FALSE),0)&gt;0,0,1),IF(IFERROR(MATCH($A9,attributeMapFeedProductType,0),0)&gt;0,1,0))</formula>
    </cfRule>
  </conditionalFormatting>
  <conditionalFormatting sqref="CS9:CS12">
    <cfRule type="expression" dxfId="1768" priority="1637">
      <formula>IF(LEN(CS9)&gt;0,1,0)</formula>
    </cfRule>
    <cfRule type="expression" dxfId="1767" priority="1638">
      <formula>IF(VLOOKUP($CS$3,requiredAttributePTDMap,MATCH($A9,attributeMapFeedProductType,0)+1,FALSE)&gt;0,1,0)</formula>
    </cfRule>
    <cfRule type="expression" dxfId="1766" priority="1639">
      <formula>IF(VLOOKUP($CS$3,optionalAttributePTDMap,MATCH($A9,attributeMapFeedProductType,0)+1,FALSE)&gt;0,1,0)</formula>
    </cfRule>
    <cfRule type="expression" dxfId="1765" priority="1640">
      <formula>IF(VLOOKUP($CS$3,preferredAttributePTDMap,MATCH($A9,attributeMapFeedProductType,0)+1,FALSE)&gt;0,1,0)</formula>
    </cfRule>
    <cfRule type="expression" dxfId="1764" priority="1641">
      <formula>AND(IF(IFERROR(VLOOKUP($CS$3,requiredAttributePTDMap,MATCH($A9,attributeMapFeedProductType,0)+1,FALSE),0)&gt;0,0,1),IF(IFERROR(VLOOKUP($CS$3,optionalAttributePTDMap,MATCH($A9,attributeMapFeedProductType,0)+1,FALSE),0)&gt;0,0,1),IF(IFERROR(VLOOKUP($CS$3,preferredAttributePTDMap,MATCH($A9,attributeMapFeedProductType,0)+1,FALSE),0)&gt;0,0,1),IF(IFERROR(MATCH($A9,attributeMapFeedProductType,0),0)&gt;0,1,0))</formula>
    </cfRule>
  </conditionalFormatting>
  <conditionalFormatting sqref="CT9:CT12">
    <cfRule type="expression" dxfId="1763" priority="1642">
      <formula>AND(AND((0)),1=1)</formula>
    </cfRule>
    <cfRule type="expression" dxfId="1762" priority="1643">
      <formula>AND(AND(OR(AND(OR(OR(NOT(DQ9&lt;&gt;"not_applicable"),DQ9="")),OR(OR(NOT(DR9&lt;&gt;"not_applicable"),DR9="")),OR(OR(NOT(DS9&lt;&gt;"not_applicable"),DS9="")),OR(OR(NOT(DT9&lt;&gt;"not_applicable"),DT9="")),OR(OR(NOT(DU9&lt;&gt;"not_applicable"),DU9="")))),A9&lt;&gt;""))</formula>
    </cfRule>
    <cfRule type="expression" dxfId="1761" priority="1644">
      <formula>IF(LEN(CT9)&gt;0,1,0)</formula>
    </cfRule>
    <cfRule type="expression" dxfId="1760" priority="1645">
      <formula>IF(VLOOKUP($CT$3,requiredAttributePTDMap,MATCH($A9,attributeMapFeedProductType,0)+1,FALSE)&gt;0,1,0)</formula>
    </cfRule>
    <cfRule type="expression" dxfId="1759" priority="1646">
      <formula>IF(VLOOKUP($CT$3,optionalAttributePTDMap,MATCH($A9,attributeMapFeedProductType,0)+1,FALSE)&gt;0,1,0)</formula>
    </cfRule>
    <cfRule type="expression" dxfId="1758" priority="1647">
      <formula>IF(VLOOKUP($CT$3,preferredAttributePTDMap,MATCH($A9,attributeMapFeedProductType,0)+1,FALSE)&gt;0,1,0)</formula>
    </cfRule>
    <cfRule type="expression" dxfId="1757" priority="1648">
      <formula>AND(IF(IFERROR(VLOOKUP($CT$3,requiredAttributePTDMap,MATCH($A9,attributeMapFeedProductType,0)+1,FALSE),0)&gt;0,0,1),IF(IFERROR(VLOOKUP($CT$3,optionalAttributePTDMap,MATCH($A9,attributeMapFeedProductType,0)+1,FALSE),0)&gt;0,0,1),IF(IFERROR(VLOOKUP($CT$3,preferredAttributePTDMap,MATCH($A9,attributeMapFeedProductType,0)+1,FALSE),0)&gt;0,0,1),IF(IFERROR(MATCH($A9,attributeMapFeedProductType,0),0)&gt;0,1,0))</formula>
    </cfRule>
  </conditionalFormatting>
  <conditionalFormatting sqref="CU9:CU12">
    <cfRule type="expression" dxfId="1756" priority="1649">
      <formula>AND(AND((0)),1=1)</formula>
    </cfRule>
    <cfRule type="expression" dxfId="1755" priority="1650">
      <formula>AND(AND(OR(AND(OR(OR(NOT(DQ9&lt;&gt;"not_applicable"),DQ9="")),OR(OR(NOT(DR9&lt;&gt;"not_applicable"),DR9="")),OR(OR(NOT(DS9&lt;&gt;"not_applicable"),DS9="")),OR(OR(NOT(DT9&lt;&gt;"not_applicable"),DT9="")),OR(OR(NOT(DU9&lt;&gt;"not_applicable"),DU9="")))),A9&lt;&gt;""))</formula>
    </cfRule>
    <cfRule type="expression" dxfId="1754" priority="1651">
      <formula>IF(LEN(CU9)&gt;0,1,0)</formula>
    </cfRule>
    <cfRule type="expression" dxfId="1753" priority="1652">
      <formula>IF(VLOOKUP($CU$3,requiredAttributePTDMap,MATCH($A9,attributeMapFeedProductType,0)+1,FALSE)&gt;0,1,0)</formula>
    </cfRule>
    <cfRule type="expression" dxfId="1752" priority="1653">
      <formula>IF(VLOOKUP($CU$3,optionalAttributePTDMap,MATCH($A9,attributeMapFeedProductType,0)+1,FALSE)&gt;0,1,0)</formula>
    </cfRule>
    <cfRule type="expression" dxfId="1751" priority="1654">
      <formula>IF(VLOOKUP($CU$3,preferredAttributePTDMap,MATCH($A9,attributeMapFeedProductType,0)+1,FALSE)&gt;0,1,0)</formula>
    </cfRule>
    <cfRule type="expression" dxfId="1750" priority="1655">
      <formula>AND(IF(IFERROR(VLOOKUP($CU$3,requiredAttributePTDMap,MATCH($A9,attributeMapFeedProductType,0)+1,FALSE),0)&gt;0,0,1),IF(IFERROR(VLOOKUP($CU$3,optionalAttributePTDMap,MATCH($A9,attributeMapFeedProductType,0)+1,FALSE),0)&gt;0,0,1),IF(IFERROR(VLOOKUP($CU$3,preferredAttributePTDMap,MATCH($A9,attributeMapFeedProductType,0)+1,FALSE),0)&gt;0,0,1),IF(IFERROR(MATCH($A9,attributeMapFeedProductType,0),0)&gt;0,1,0))</formula>
    </cfRule>
  </conditionalFormatting>
  <conditionalFormatting sqref="CV9:CV12">
    <cfRule type="expression" dxfId="1749" priority="1656">
      <formula>IF(LEN(CV9)&gt;0,1,0)</formula>
    </cfRule>
    <cfRule type="expression" dxfId="1748" priority="1657">
      <formula>IF(VLOOKUP($CV$3,requiredAttributePTDMap,MATCH($A9,attributeMapFeedProductType,0)+1,FALSE)&gt;0,1,0)</formula>
    </cfRule>
    <cfRule type="expression" dxfId="1747" priority="1658">
      <formula>IF(VLOOKUP($CV$3,optionalAttributePTDMap,MATCH($A9,attributeMapFeedProductType,0)+1,FALSE)&gt;0,1,0)</formula>
    </cfRule>
    <cfRule type="expression" dxfId="1746" priority="1659">
      <formula>IF(VLOOKUP($CV$3,preferredAttributePTDMap,MATCH($A9,attributeMapFeedProductType,0)+1,FALSE)&gt;0,1,0)</formula>
    </cfRule>
    <cfRule type="expression" dxfId="1745" priority="1660">
      <formula>AND(IF(IFERROR(VLOOKUP($CV$3,requiredAttributePTDMap,MATCH($A9,attributeMapFeedProductType,0)+1,FALSE),0)&gt;0,0,1),IF(IFERROR(VLOOKUP($CV$3,optionalAttributePTDMap,MATCH($A9,attributeMapFeedProductType,0)+1,FALSE),0)&gt;0,0,1),IF(IFERROR(VLOOKUP($CV$3,preferredAttributePTDMap,MATCH($A9,attributeMapFeedProductType,0)+1,FALSE),0)&gt;0,0,1),IF(IFERROR(MATCH($A9,attributeMapFeedProductType,0),0)&gt;0,1,0))</formula>
    </cfRule>
  </conditionalFormatting>
  <conditionalFormatting sqref="CW9:CW12">
    <cfRule type="expression" dxfId="1744" priority="1661">
      <formula>AND(AND((0)),1=1)</formula>
    </cfRule>
    <cfRule type="expression" dxfId="1743" priority="1662">
      <formula>AND(AND(OR(AND(AND(IF(COUNTIF(CONDITION_LIST_0, CY9)&gt;0,FALSE,TRUE)))),A9&lt;&gt;""))</formula>
    </cfRule>
    <cfRule type="expression" dxfId="1742" priority="1663">
      <formula>IF(LEN(CW9)&gt;0,1,0)</formula>
    </cfRule>
    <cfRule type="expression" dxfId="1741" priority="1664">
      <formula>IF(VLOOKUP($CW$3,requiredAttributePTDMap,MATCH($A9,attributeMapFeedProductType,0)+1,FALSE)&gt;0,1,0)</formula>
    </cfRule>
    <cfRule type="expression" dxfId="1740" priority="1665">
      <formula>IF(VLOOKUP($CW$3,optionalAttributePTDMap,MATCH($A9,attributeMapFeedProductType,0)+1,FALSE)&gt;0,1,0)</formula>
    </cfRule>
    <cfRule type="expression" dxfId="1739" priority="1666">
      <formula>IF(VLOOKUP($CW$3,preferredAttributePTDMap,MATCH($A9,attributeMapFeedProductType,0)+1,FALSE)&gt;0,1,0)</formula>
    </cfRule>
    <cfRule type="expression" dxfId="1738" priority="1667">
      <formula>AND(IF(IFERROR(VLOOKUP($CW$3,requiredAttributePTDMap,MATCH($A9,attributeMapFeedProductType,0)+1,FALSE),0)&gt;0,0,1),IF(IFERROR(VLOOKUP($CW$3,optionalAttributePTDMap,MATCH($A9,attributeMapFeedProductType,0)+1,FALSE),0)&gt;0,0,1),IF(IFERROR(VLOOKUP($CW$3,preferredAttributePTDMap,MATCH($A9,attributeMapFeedProductType,0)+1,FALSE),0)&gt;0,0,1),IF(IFERROR(MATCH($A9,attributeMapFeedProductType,0),0)&gt;0,1,0))</formula>
    </cfRule>
  </conditionalFormatting>
  <conditionalFormatting sqref="CX9:CX12">
    <cfRule type="expression" dxfId="1737" priority="1668">
      <formula>AND(AND((0)),1=1)</formula>
    </cfRule>
    <cfRule type="expression" dxfId="1736" priority="1669">
      <formula>AND(AND(OR(AND(OR(OR(NOT(DQ9&lt;&gt;"not_applicable"),DQ9="")),OR(OR(NOT(DR9&lt;&gt;"not_applicable"),DR9="")),OR(OR(NOT(DS9&lt;&gt;"not_applicable"),DS9="")),OR(OR(NOT(DT9&lt;&gt;"not_applicable"),DT9="")),OR(OR(NOT(DU9&lt;&gt;"not_applicable"),DU9="")))),A9&lt;&gt;""))</formula>
    </cfRule>
    <cfRule type="expression" dxfId="1735" priority="1670">
      <formula>IF(LEN(CX9)&gt;0,1,0)</formula>
    </cfRule>
    <cfRule type="expression" dxfId="1734" priority="1671">
      <formula>IF(VLOOKUP($CX$3,requiredAttributePTDMap,MATCH($A9,attributeMapFeedProductType,0)+1,FALSE)&gt;0,1,0)</formula>
    </cfRule>
    <cfRule type="expression" dxfId="1733" priority="1672">
      <formula>IF(VLOOKUP($CX$3,optionalAttributePTDMap,MATCH($A9,attributeMapFeedProductType,0)+1,FALSE)&gt;0,1,0)</formula>
    </cfRule>
    <cfRule type="expression" dxfId="1732" priority="1673">
      <formula>IF(VLOOKUP($CX$3,preferredAttributePTDMap,MATCH($A9,attributeMapFeedProductType,0)+1,FALSE)&gt;0,1,0)</formula>
    </cfRule>
    <cfRule type="expression" dxfId="1731" priority="1674">
      <formula>AND(IF(IFERROR(VLOOKUP($CX$3,requiredAttributePTDMap,MATCH($A9,attributeMapFeedProductType,0)+1,FALSE),0)&gt;0,0,1),IF(IFERROR(VLOOKUP($CX$3,optionalAttributePTDMap,MATCH($A9,attributeMapFeedProductType,0)+1,FALSE),0)&gt;0,0,1),IF(IFERROR(VLOOKUP($CX$3,preferredAttributePTDMap,MATCH($A9,attributeMapFeedProductType,0)+1,FALSE),0)&gt;0,0,1),IF(IFERROR(MATCH($A9,attributeMapFeedProductType,0),0)&gt;0,1,0))</formula>
    </cfRule>
  </conditionalFormatting>
  <conditionalFormatting sqref="CY9:CY12">
    <cfRule type="expression" dxfId="1730" priority="1675">
      <formula>AND(AND((0)),1=1)</formula>
    </cfRule>
    <cfRule type="expression" dxfId="1729" priority="1676">
      <formula>AND(AND(OR(AND(OR(OR(NOT(CH9&lt;&gt;"DEFAULT"),CH9="")))),A9&lt;&gt;""))</formula>
    </cfRule>
    <cfRule type="expression" dxfId="1728" priority="1677">
      <formula>IF(LEN(CY9)&gt;0,1,0)</formula>
    </cfRule>
    <cfRule type="expression" dxfId="1727" priority="1678">
      <formula>IF(VLOOKUP($CY$3,requiredAttributePTDMap,MATCH($A9,attributeMapFeedProductType,0)+1,FALSE)&gt;0,1,0)</formula>
    </cfRule>
    <cfRule type="expression" dxfId="1726" priority="1679">
      <formula>IF(VLOOKUP($CY$3,optionalAttributePTDMap,MATCH($A9,attributeMapFeedProductType,0)+1,FALSE)&gt;0,1,0)</formula>
    </cfRule>
    <cfRule type="expression" dxfId="1725" priority="1680">
      <formula>IF(VLOOKUP($CY$3,preferredAttributePTDMap,MATCH($A9,attributeMapFeedProductType,0)+1,FALSE)&gt;0,1,0)</formula>
    </cfRule>
    <cfRule type="expression" dxfId="1724" priority="1681">
      <formula>AND(IF(IFERROR(VLOOKUP($CY$3,requiredAttributePTDMap,MATCH($A9,attributeMapFeedProductType,0)+1,FALSE),0)&gt;0,0,1),IF(IFERROR(VLOOKUP($CY$3,optionalAttributePTDMap,MATCH($A9,attributeMapFeedProductType,0)+1,FALSE),0)&gt;0,0,1),IF(IFERROR(VLOOKUP($CY$3,preferredAttributePTDMap,MATCH($A9,attributeMapFeedProductType,0)+1,FALSE),0)&gt;0,0,1),IF(IFERROR(MATCH($A9,attributeMapFeedProductType,0),0)&gt;0,1,0))</formula>
    </cfRule>
  </conditionalFormatting>
  <conditionalFormatting sqref="CZ9:CZ12">
    <cfRule type="expression" dxfId="1723" priority="1682">
      <formula>AND(AND((0)),1=1)</formula>
    </cfRule>
    <cfRule type="expression" dxfId="1722" priority="1683">
      <formula>AND(AND(OR(AND(AND(IF(COUNTIF(CONDITION_LIST_1, DL9)&gt;0,FALSE,TRUE)))),A9&lt;&gt;""))</formula>
    </cfRule>
    <cfRule type="expression" dxfId="1721" priority="1684">
      <formula>IF(LEN(CZ9)&gt;0,1,0)</formula>
    </cfRule>
    <cfRule type="expression" dxfId="1720" priority="1685">
      <formula>IF(VLOOKUP($CZ$3,requiredAttributePTDMap,MATCH($A9,attributeMapFeedProductType,0)+1,FALSE)&gt;0,1,0)</formula>
    </cfRule>
    <cfRule type="expression" dxfId="1719" priority="1686">
      <formula>IF(VLOOKUP($CZ$3,optionalAttributePTDMap,MATCH($A9,attributeMapFeedProductType,0)+1,FALSE)&gt;0,1,0)</formula>
    </cfRule>
    <cfRule type="expression" dxfId="1718" priority="1687">
      <formula>IF(VLOOKUP($CZ$3,preferredAttributePTDMap,MATCH($A9,attributeMapFeedProductType,0)+1,FALSE)&gt;0,1,0)</formula>
    </cfRule>
    <cfRule type="expression" dxfId="1717" priority="1688">
      <formula>AND(IF(IFERROR(VLOOKUP($CZ$3,requiredAttributePTDMap,MATCH($A9,attributeMapFeedProductType,0)+1,FALSE),0)&gt;0,0,1),IF(IFERROR(VLOOKUP($CZ$3,optionalAttributePTDMap,MATCH($A9,attributeMapFeedProductType,0)+1,FALSE),0)&gt;0,0,1),IF(IFERROR(VLOOKUP($CZ$3,preferredAttributePTDMap,MATCH($A9,attributeMapFeedProductType,0)+1,FALSE),0)&gt;0,0,1),IF(IFERROR(MATCH($A9,attributeMapFeedProductType,0),0)&gt;0,1,0))</formula>
    </cfRule>
  </conditionalFormatting>
  <conditionalFormatting sqref="DA9:DA12">
    <cfRule type="expression" dxfId="1716" priority="1689">
      <formula>AND(AND((0)),1=1)</formula>
    </cfRule>
    <cfRule type="expression" dxfId="1715" priority="1690">
      <formula>AND(AND(OR(AND(AND(IF(COUNTIF(CONDITION_LIST_1, DL9)&gt;0,FALSE,TRUE)))),A9&lt;&gt;""))</formula>
    </cfRule>
    <cfRule type="expression" dxfId="1714" priority="1691">
      <formula>IF(LEN(DA9)&gt;0,1,0)</formula>
    </cfRule>
    <cfRule type="expression" dxfId="1713" priority="1692">
      <formula>IF(VLOOKUP($DA$3,requiredAttributePTDMap,MATCH($A9,attributeMapFeedProductType,0)+1,FALSE)&gt;0,1,0)</formula>
    </cfRule>
    <cfRule type="expression" dxfId="1712" priority="1693">
      <formula>IF(VLOOKUP($DA$3,optionalAttributePTDMap,MATCH($A9,attributeMapFeedProductType,0)+1,FALSE)&gt;0,1,0)</formula>
    </cfRule>
    <cfRule type="expression" dxfId="1711" priority="1694">
      <formula>IF(VLOOKUP($DA$3,preferredAttributePTDMap,MATCH($A9,attributeMapFeedProductType,0)+1,FALSE)&gt;0,1,0)</formula>
    </cfRule>
    <cfRule type="expression" dxfId="1710" priority="1695">
      <formula>AND(IF(IFERROR(VLOOKUP($DA$3,requiredAttributePTDMap,MATCH($A9,attributeMapFeedProductType,0)+1,FALSE),0)&gt;0,0,1),IF(IFERROR(VLOOKUP($DA$3,optionalAttributePTDMap,MATCH($A9,attributeMapFeedProductType,0)+1,FALSE),0)&gt;0,0,1),IF(IFERROR(VLOOKUP($DA$3,preferredAttributePTDMap,MATCH($A9,attributeMapFeedProductType,0)+1,FALSE),0)&gt;0,0,1),IF(IFERROR(MATCH($A9,attributeMapFeedProductType,0),0)&gt;0,1,0))</formula>
    </cfRule>
  </conditionalFormatting>
  <conditionalFormatting sqref="DB9:DB12">
    <cfRule type="expression" dxfId="1709" priority="1696">
      <formula>AND(AND((0)),1=1)</formula>
    </cfRule>
    <cfRule type="expression" dxfId="1708" priority="1697">
      <formula>AND(AND(OR(AND(AND(IF(COUNTIF(CONDITION_LIST_1, DL9)&gt;0,FALSE,TRUE)))),A9&lt;&gt;""))</formula>
    </cfRule>
    <cfRule type="expression" dxfId="1707" priority="1698">
      <formula>IF(LEN(DB9)&gt;0,1,0)</formula>
    </cfRule>
    <cfRule type="expression" dxfId="1706" priority="1699">
      <formula>IF(VLOOKUP($DB$3,requiredAttributePTDMap,MATCH($A9,attributeMapFeedProductType,0)+1,FALSE)&gt;0,1,0)</formula>
    </cfRule>
    <cfRule type="expression" dxfId="1705" priority="1700">
      <formula>IF(VLOOKUP($DB$3,optionalAttributePTDMap,MATCH($A9,attributeMapFeedProductType,0)+1,FALSE)&gt;0,1,0)</formula>
    </cfRule>
    <cfRule type="expression" dxfId="1704" priority="1701">
      <formula>IF(VLOOKUP($DB$3,preferredAttributePTDMap,MATCH($A9,attributeMapFeedProductType,0)+1,FALSE)&gt;0,1,0)</formula>
    </cfRule>
    <cfRule type="expression" dxfId="1703" priority="1702">
      <formula>AND(IF(IFERROR(VLOOKUP($DB$3,requiredAttributePTDMap,MATCH($A9,attributeMapFeedProductType,0)+1,FALSE),0)&gt;0,0,1),IF(IFERROR(VLOOKUP($DB$3,optionalAttributePTDMap,MATCH($A9,attributeMapFeedProductType,0)+1,FALSE),0)&gt;0,0,1),IF(IFERROR(VLOOKUP($DB$3,preferredAttributePTDMap,MATCH($A9,attributeMapFeedProductType,0)+1,FALSE),0)&gt;0,0,1),IF(IFERROR(MATCH($A9,attributeMapFeedProductType,0),0)&gt;0,1,0))</formula>
    </cfRule>
  </conditionalFormatting>
  <conditionalFormatting sqref="DC9:DC12">
    <cfRule type="expression" dxfId="1702" priority="1703">
      <formula>AND(AND((0)),1=1)</formula>
    </cfRule>
    <cfRule type="expression" dxfId="1701" priority="1704">
      <formula>AND(AND(OR(AND(OR(OR(NOT(DQ9&lt;&gt;"not_applicable"),DQ9="")),OR(OR(NOT(DR9&lt;&gt;"not_applicable"),DR9="")),OR(OR(NOT(DS9&lt;&gt;"not_applicable"),DS9="")),OR(OR(NOT(DT9&lt;&gt;"not_applicable"),DT9="")),OR(OR(NOT(DU9&lt;&gt;"not_applicable"),DU9="")))),A9&lt;&gt;""))</formula>
    </cfRule>
    <cfRule type="expression" dxfId="1700" priority="1705">
      <formula>IF(LEN(DC9)&gt;0,1,0)</formula>
    </cfRule>
    <cfRule type="expression" dxfId="1699" priority="1706">
      <formula>IF(VLOOKUP($DC$3,requiredAttributePTDMap,MATCH($A9,attributeMapFeedProductType,0)+1,FALSE)&gt;0,1,0)</formula>
    </cfRule>
    <cfRule type="expression" dxfId="1698" priority="1707">
      <formula>IF(VLOOKUP($DC$3,optionalAttributePTDMap,MATCH($A9,attributeMapFeedProductType,0)+1,FALSE)&gt;0,1,0)</formula>
    </cfRule>
    <cfRule type="expression" dxfId="1697" priority="1708">
      <formula>IF(VLOOKUP($DC$3,preferredAttributePTDMap,MATCH($A9,attributeMapFeedProductType,0)+1,FALSE)&gt;0,1,0)</formula>
    </cfRule>
    <cfRule type="expression" dxfId="1696" priority="1709">
      <formula>AND(IF(IFERROR(VLOOKUP($DC$3,requiredAttributePTDMap,MATCH($A9,attributeMapFeedProductType,0)+1,FALSE),0)&gt;0,0,1),IF(IFERROR(VLOOKUP($DC$3,optionalAttributePTDMap,MATCH($A9,attributeMapFeedProductType,0)+1,FALSE),0)&gt;0,0,1),IF(IFERROR(VLOOKUP($DC$3,preferredAttributePTDMap,MATCH($A9,attributeMapFeedProductType,0)+1,FALSE),0)&gt;0,0,1),IF(IFERROR(MATCH($A9,attributeMapFeedProductType,0),0)&gt;0,1,0))</formula>
    </cfRule>
  </conditionalFormatting>
  <conditionalFormatting sqref="DD9:DD12">
    <cfRule type="expression" dxfId="1695" priority="1710">
      <formula>AND(AND((0)),1=1)</formula>
    </cfRule>
    <cfRule type="expression" dxfId="1694" priority="1711">
      <formula>AND(AND(OR(AND(AND(IF(COUNTIF(CONDITION_LIST_1, DL9)&gt;0,FALSE,TRUE)))),A9&lt;&gt;""))</formula>
    </cfRule>
    <cfRule type="expression" dxfId="1693" priority="1712">
      <formula>IF(LEN(DD9)&gt;0,1,0)</formula>
    </cfRule>
    <cfRule type="expression" dxfId="1692" priority="1713">
      <formula>IF(VLOOKUP($DD$3,requiredAttributePTDMap,MATCH($A9,attributeMapFeedProductType,0)+1,FALSE)&gt;0,1,0)</formula>
    </cfRule>
    <cfRule type="expression" dxfId="1691" priority="1714">
      <formula>IF(VLOOKUP($DD$3,optionalAttributePTDMap,MATCH($A9,attributeMapFeedProductType,0)+1,FALSE)&gt;0,1,0)</formula>
    </cfRule>
    <cfRule type="expression" dxfId="1690" priority="1715">
      <formula>IF(VLOOKUP($DD$3,preferredAttributePTDMap,MATCH($A9,attributeMapFeedProductType,0)+1,FALSE)&gt;0,1,0)</formula>
    </cfRule>
    <cfRule type="expression" dxfId="1689" priority="1716">
      <formula>AND(IF(IFERROR(VLOOKUP($DD$3,requiredAttributePTDMap,MATCH($A9,attributeMapFeedProductType,0)+1,FALSE),0)&gt;0,0,1),IF(IFERROR(VLOOKUP($DD$3,optionalAttributePTDMap,MATCH($A9,attributeMapFeedProductType,0)+1,FALSE),0)&gt;0,0,1),IF(IFERROR(VLOOKUP($DD$3,preferredAttributePTDMap,MATCH($A9,attributeMapFeedProductType,0)+1,FALSE),0)&gt;0,0,1),IF(IFERROR(MATCH($A9,attributeMapFeedProductType,0),0)&gt;0,1,0))</formula>
    </cfRule>
  </conditionalFormatting>
  <conditionalFormatting sqref="DE9:DE12">
    <cfRule type="expression" dxfId="1688" priority="1717">
      <formula>AND(AND((0)),1=1)</formula>
    </cfRule>
    <cfRule type="expression" dxfId="1687" priority="1718">
      <formula>AND(AND(OR(AND(AND(IF(COUNTIF(CONDITION_LIST_1, DL9)&gt;0,FALSE,TRUE)))),A9&lt;&gt;""))</formula>
    </cfRule>
    <cfRule type="expression" dxfId="1686" priority="1719">
      <formula>IF(LEN(DE9)&gt;0,1,0)</formula>
    </cfRule>
    <cfRule type="expression" dxfId="1685" priority="1720">
      <formula>IF(VLOOKUP($DE$3,requiredAttributePTDMap,MATCH($A9,attributeMapFeedProductType,0)+1,FALSE)&gt;0,1,0)</formula>
    </cfRule>
    <cfRule type="expression" dxfId="1684" priority="1721">
      <formula>IF(VLOOKUP($DE$3,optionalAttributePTDMap,MATCH($A9,attributeMapFeedProductType,0)+1,FALSE)&gt;0,1,0)</formula>
    </cfRule>
    <cfRule type="expression" dxfId="1683" priority="1722">
      <formula>IF(VLOOKUP($DE$3,preferredAttributePTDMap,MATCH($A9,attributeMapFeedProductType,0)+1,FALSE)&gt;0,1,0)</formula>
    </cfRule>
    <cfRule type="expression" dxfId="1682" priority="1723">
      <formula>AND(IF(IFERROR(VLOOKUP($DE$3,requiredAttributePTDMap,MATCH($A9,attributeMapFeedProductType,0)+1,FALSE),0)&gt;0,0,1),IF(IFERROR(VLOOKUP($DE$3,optionalAttributePTDMap,MATCH($A9,attributeMapFeedProductType,0)+1,FALSE),0)&gt;0,0,1),IF(IFERROR(VLOOKUP($DE$3,preferredAttributePTDMap,MATCH($A9,attributeMapFeedProductType,0)+1,FALSE),0)&gt;0,0,1),IF(IFERROR(MATCH($A9,attributeMapFeedProductType,0),0)&gt;0,1,0))</formula>
    </cfRule>
  </conditionalFormatting>
  <conditionalFormatting sqref="DF9:DF12">
    <cfRule type="expression" dxfId="1681" priority="1724">
      <formula>AND(AND((0)),1=1)</formula>
    </cfRule>
    <cfRule type="expression" dxfId="1680" priority="1725">
      <formula>AND(AND(OR(AND(AND(IF(COUNTIF(CONDITION_LIST_1, DL9)&gt;0,FALSE,TRUE)))),A9&lt;&gt;""))</formula>
    </cfRule>
    <cfRule type="expression" dxfId="1679" priority="1726">
      <formula>IF(LEN(DF9)&gt;0,1,0)</formula>
    </cfRule>
    <cfRule type="expression" dxfId="1678" priority="1727">
      <formula>IF(VLOOKUP($DF$3,requiredAttributePTDMap,MATCH($A9,attributeMapFeedProductType,0)+1,FALSE)&gt;0,1,0)</formula>
    </cfRule>
    <cfRule type="expression" dxfId="1677" priority="1728">
      <formula>IF(VLOOKUP($DF$3,optionalAttributePTDMap,MATCH($A9,attributeMapFeedProductType,0)+1,FALSE)&gt;0,1,0)</formula>
    </cfRule>
    <cfRule type="expression" dxfId="1676" priority="1729">
      <formula>IF(VLOOKUP($DF$3,preferredAttributePTDMap,MATCH($A9,attributeMapFeedProductType,0)+1,FALSE)&gt;0,1,0)</formula>
    </cfRule>
    <cfRule type="expression" dxfId="1675" priority="1730">
      <formula>AND(IF(IFERROR(VLOOKUP($DF$3,requiredAttributePTDMap,MATCH($A9,attributeMapFeedProductType,0)+1,FALSE),0)&gt;0,0,1),IF(IFERROR(VLOOKUP($DF$3,optionalAttributePTDMap,MATCH($A9,attributeMapFeedProductType,0)+1,FALSE),0)&gt;0,0,1),IF(IFERROR(VLOOKUP($DF$3,preferredAttributePTDMap,MATCH($A9,attributeMapFeedProductType,0)+1,FALSE),0)&gt;0,0,1),IF(IFERROR(MATCH($A9,attributeMapFeedProductType,0),0)&gt;0,1,0))</formula>
    </cfRule>
  </conditionalFormatting>
  <conditionalFormatting sqref="DG9:DG12">
    <cfRule type="expression" dxfId="1674" priority="1731">
      <formula>AND(AND((0)),1=1)</formula>
    </cfRule>
    <cfRule type="expression" dxfId="1673" priority="1732">
      <formula>AND(AND(OR(AND(AND(IF(COUNTIF(CONDITION_LIST_1, DL9)&gt;0,FALSE,TRUE)))),A9&lt;&gt;""))</formula>
    </cfRule>
    <cfRule type="expression" dxfId="1672" priority="1733">
      <formula>IF(LEN(DG9)&gt;0,1,0)</formula>
    </cfRule>
    <cfRule type="expression" dxfId="1671" priority="1734">
      <formula>IF(VLOOKUP($DG$3,requiredAttributePTDMap,MATCH($A9,attributeMapFeedProductType,0)+1,FALSE)&gt;0,1,0)</formula>
    </cfRule>
    <cfRule type="expression" dxfId="1670" priority="1735">
      <formula>IF(VLOOKUP($DG$3,optionalAttributePTDMap,MATCH($A9,attributeMapFeedProductType,0)+1,FALSE)&gt;0,1,0)</formula>
    </cfRule>
    <cfRule type="expression" dxfId="1669" priority="1736">
      <formula>IF(VLOOKUP($DG$3,preferredAttributePTDMap,MATCH($A9,attributeMapFeedProductType,0)+1,FALSE)&gt;0,1,0)</formula>
    </cfRule>
    <cfRule type="expression" dxfId="1668" priority="1737">
      <formula>AND(IF(IFERROR(VLOOKUP($DG$3,requiredAttributePTDMap,MATCH($A9,attributeMapFeedProductType,0)+1,FALSE),0)&gt;0,0,1),IF(IFERROR(VLOOKUP($DG$3,optionalAttributePTDMap,MATCH($A9,attributeMapFeedProductType,0)+1,FALSE),0)&gt;0,0,1),IF(IFERROR(VLOOKUP($DG$3,preferredAttributePTDMap,MATCH($A9,attributeMapFeedProductType,0)+1,FALSE),0)&gt;0,0,1),IF(IFERROR(MATCH($A9,attributeMapFeedProductType,0),0)&gt;0,1,0))</formula>
    </cfRule>
  </conditionalFormatting>
  <conditionalFormatting sqref="DH9:DH12">
    <cfRule type="expression" dxfId="1667" priority="1738">
      <formula>AND(AND((0)),1=1)</formula>
    </cfRule>
    <cfRule type="expression" dxfId="1666" priority="1739">
      <formula>AND(AND(OR(AND(AND(IF(COUNTIF(CONDITION_LIST_1, DL9)&gt;0,FALSE,TRUE)))),A9&lt;&gt;""))</formula>
    </cfRule>
    <cfRule type="expression" dxfId="1665" priority="1740">
      <formula>IF(LEN(DH9)&gt;0,1,0)</formula>
    </cfRule>
    <cfRule type="expression" dxfId="1664" priority="1741">
      <formula>IF(VLOOKUP($DH$3,requiredAttributePTDMap,MATCH($A9,attributeMapFeedProductType,0)+1,FALSE)&gt;0,1,0)</formula>
    </cfRule>
    <cfRule type="expression" dxfId="1663" priority="1742">
      <formula>IF(VLOOKUP($DH$3,optionalAttributePTDMap,MATCH($A9,attributeMapFeedProductType,0)+1,FALSE)&gt;0,1,0)</formula>
    </cfRule>
    <cfRule type="expression" dxfId="1662" priority="1743">
      <formula>IF(VLOOKUP($DH$3,preferredAttributePTDMap,MATCH($A9,attributeMapFeedProductType,0)+1,FALSE)&gt;0,1,0)</formula>
    </cfRule>
    <cfRule type="expression" dxfId="1661" priority="1744">
      <formula>AND(IF(IFERROR(VLOOKUP($DH$3,requiredAttributePTDMap,MATCH($A9,attributeMapFeedProductType,0)+1,FALSE),0)&gt;0,0,1),IF(IFERROR(VLOOKUP($DH$3,optionalAttributePTDMap,MATCH($A9,attributeMapFeedProductType,0)+1,FALSE),0)&gt;0,0,1),IF(IFERROR(VLOOKUP($DH$3,preferredAttributePTDMap,MATCH($A9,attributeMapFeedProductType,0)+1,FALSE),0)&gt;0,0,1),IF(IFERROR(MATCH($A9,attributeMapFeedProductType,0),0)&gt;0,1,0))</formula>
    </cfRule>
  </conditionalFormatting>
  <conditionalFormatting sqref="DI9:DI12">
    <cfRule type="expression" dxfId="1660" priority="1745">
      <formula>AND(AND((0)),1=1)</formula>
    </cfRule>
    <cfRule type="expression" dxfId="1659" priority="1746">
      <formula>AND(AND(OR(AND(AND(IF(COUNTIF(CONDITION_LIST_1, DL9)&gt;0,FALSE,TRUE)))),A9&lt;&gt;""))</formula>
    </cfRule>
    <cfRule type="expression" dxfId="1658" priority="1747">
      <formula>IF(LEN(DI9)&gt;0,1,0)</formula>
    </cfRule>
    <cfRule type="expression" dxfId="1657" priority="1748">
      <formula>IF(VLOOKUP($DI$3,requiredAttributePTDMap,MATCH($A9,attributeMapFeedProductType,0)+1,FALSE)&gt;0,1,0)</formula>
    </cfRule>
    <cfRule type="expression" dxfId="1656" priority="1749">
      <formula>IF(VLOOKUP($DI$3,optionalAttributePTDMap,MATCH($A9,attributeMapFeedProductType,0)+1,FALSE)&gt;0,1,0)</formula>
    </cfRule>
    <cfRule type="expression" dxfId="1655" priority="1750">
      <formula>IF(VLOOKUP($DI$3,preferredAttributePTDMap,MATCH($A9,attributeMapFeedProductType,0)+1,FALSE)&gt;0,1,0)</formula>
    </cfRule>
    <cfRule type="expression" dxfId="1654" priority="1751">
      <formula>AND(IF(IFERROR(VLOOKUP($DI$3,requiredAttributePTDMap,MATCH($A9,attributeMapFeedProductType,0)+1,FALSE),0)&gt;0,0,1),IF(IFERROR(VLOOKUP($DI$3,optionalAttributePTDMap,MATCH($A9,attributeMapFeedProductType,0)+1,FALSE),0)&gt;0,0,1),IF(IFERROR(VLOOKUP($DI$3,preferredAttributePTDMap,MATCH($A9,attributeMapFeedProductType,0)+1,FALSE),0)&gt;0,0,1),IF(IFERROR(MATCH($A9,attributeMapFeedProductType,0),0)&gt;0,1,0))</formula>
    </cfRule>
  </conditionalFormatting>
  <conditionalFormatting sqref="DJ9:DJ12">
    <cfRule type="expression" dxfId="1653" priority="1752">
      <formula>AND(AND((0)),1=1)</formula>
    </cfRule>
    <cfRule type="expression" dxfId="1652" priority="1753">
      <formula>AND(AND(OR(AND(AND(IF(COUNTIF(CONDITION_LIST_1, DL9)&gt;0,FALSE,TRUE)))),A9&lt;&gt;""))</formula>
    </cfRule>
    <cfRule type="expression" dxfId="1651" priority="1754">
      <formula>IF(LEN(DJ9)&gt;0,1,0)</formula>
    </cfRule>
    <cfRule type="expression" dxfId="1650" priority="1755">
      <formula>IF(VLOOKUP($DJ$3,requiredAttributePTDMap,MATCH($A9,attributeMapFeedProductType,0)+1,FALSE)&gt;0,1,0)</formula>
    </cfRule>
    <cfRule type="expression" dxfId="1649" priority="1756">
      <formula>IF(VLOOKUP($DJ$3,optionalAttributePTDMap,MATCH($A9,attributeMapFeedProductType,0)+1,FALSE)&gt;0,1,0)</formula>
    </cfRule>
    <cfRule type="expression" dxfId="1648" priority="1757">
      <formula>IF(VLOOKUP($DJ$3,preferredAttributePTDMap,MATCH($A9,attributeMapFeedProductType,0)+1,FALSE)&gt;0,1,0)</formula>
    </cfRule>
    <cfRule type="expression" dxfId="1647" priority="1758">
      <formula>AND(IF(IFERROR(VLOOKUP($DJ$3,requiredAttributePTDMap,MATCH($A9,attributeMapFeedProductType,0)+1,FALSE),0)&gt;0,0,1),IF(IFERROR(VLOOKUP($DJ$3,optionalAttributePTDMap,MATCH($A9,attributeMapFeedProductType,0)+1,FALSE),0)&gt;0,0,1),IF(IFERROR(VLOOKUP($DJ$3,preferredAttributePTDMap,MATCH($A9,attributeMapFeedProductType,0)+1,FALSE),0)&gt;0,0,1),IF(IFERROR(MATCH($A9,attributeMapFeedProductType,0),0)&gt;0,1,0))</formula>
    </cfRule>
  </conditionalFormatting>
  <conditionalFormatting sqref="DK9:DK12">
    <cfRule type="expression" dxfId="1646" priority="1759">
      <formula>AND(AND((0)),1=1)</formula>
    </cfRule>
    <cfRule type="expression" dxfId="1645" priority="1760">
      <formula>AND(AND(OR(AND(AND(IF(COUNTIF(CONDITION_LIST_1, DL9)&gt;0,FALSE,TRUE)))),A9&lt;&gt;""))</formula>
    </cfRule>
    <cfRule type="expression" dxfId="1644" priority="1761">
      <formula>IF(LEN(DK9)&gt;0,1,0)</formula>
    </cfRule>
    <cfRule type="expression" dxfId="1643" priority="1762">
      <formula>IF(VLOOKUP($DK$3,requiredAttributePTDMap,MATCH($A9,attributeMapFeedProductType,0)+1,FALSE)&gt;0,1,0)</formula>
    </cfRule>
    <cfRule type="expression" dxfId="1642" priority="1763">
      <formula>IF(VLOOKUP($DK$3,optionalAttributePTDMap,MATCH($A9,attributeMapFeedProductType,0)+1,FALSE)&gt;0,1,0)</formula>
    </cfRule>
    <cfRule type="expression" dxfId="1641" priority="1764">
      <formula>IF(VLOOKUP($DK$3,preferredAttributePTDMap,MATCH($A9,attributeMapFeedProductType,0)+1,FALSE)&gt;0,1,0)</formula>
    </cfRule>
    <cfRule type="expression" dxfId="1640" priority="1765">
      <formula>AND(IF(IFERROR(VLOOKUP($DK$3,requiredAttributePTDMap,MATCH($A9,attributeMapFeedProductType,0)+1,FALSE),0)&gt;0,0,1),IF(IFERROR(VLOOKUP($DK$3,optionalAttributePTDMap,MATCH($A9,attributeMapFeedProductType,0)+1,FALSE),0)&gt;0,0,1),IF(IFERROR(VLOOKUP($DK$3,preferredAttributePTDMap,MATCH($A9,attributeMapFeedProductType,0)+1,FALSE),0)&gt;0,0,1),IF(IFERROR(MATCH($A9,attributeMapFeedProductType,0),0)&gt;0,1,0))</formula>
    </cfRule>
  </conditionalFormatting>
  <conditionalFormatting sqref="DL9:DL12">
    <cfRule type="expression" dxfId="1639" priority="1766">
      <formula>AND(AND((0)),1=1)</formula>
    </cfRule>
    <cfRule type="expression" dxfId="1638" priority="1767">
      <formula>AND(AND(OR(AND(AND(IF(COUNTIF(CONDITION_LIST_0, CW9)&gt;0,FALSE,TRUE)))),A9&lt;&gt;""))</formula>
    </cfRule>
    <cfRule type="expression" dxfId="1637" priority="1768">
      <formula>IF(LEN(DL9)&gt;0,1,0)</formula>
    </cfRule>
    <cfRule type="expression" dxfId="1636" priority="1769">
      <formula>IF(VLOOKUP($DL$3,requiredAttributePTDMap,MATCH($A9,attributeMapFeedProductType,0)+1,FALSE)&gt;0,1,0)</formula>
    </cfRule>
    <cfRule type="expression" dxfId="1635" priority="1770">
      <formula>IF(VLOOKUP($DL$3,optionalAttributePTDMap,MATCH($A9,attributeMapFeedProductType,0)+1,FALSE)&gt;0,1,0)</formula>
    </cfRule>
    <cfRule type="expression" dxfId="1634" priority="1771">
      <formula>IF(VLOOKUP($DL$3,preferredAttributePTDMap,MATCH($A9,attributeMapFeedProductType,0)+1,FALSE)&gt;0,1,0)</formula>
    </cfRule>
    <cfRule type="expression" dxfId="1633" priority="1772">
      <formula>AND(IF(IFERROR(VLOOKUP($DL$3,requiredAttributePTDMap,MATCH($A9,attributeMapFeedProductType,0)+1,FALSE),0)&gt;0,0,1),IF(IFERROR(VLOOKUP($DL$3,optionalAttributePTDMap,MATCH($A9,attributeMapFeedProductType,0)+1,FALSE),0)&gt;0,0,1),IF(IFERROR(VLOOKUP($DL$3,preferredAttributePTDMap,MATCH($A9,attributeMapFeedProductType,0)+1,FALSE),0)&gt;0,0,1),IF(IFERROR(MATCH($A9,attributeMapFeedProductType,0),0)&gt;0,1,0))</formula>
    </cfRule>
  </conditionalFormatting>
  <conditionalFormatting sqref="DM9:DM12">
    <cfRule type="expression" dxfId="1632" priority="1773">
      <formula>AND(AND((0)),1=1)</formula>
    </cfRule>
    <cfRule type="expression" dxfId="1631" priority="1774">
      <formula>AND(AND(OR(AND(AND(IF(COUNTIF(CONDITION_LIST_1, DL9)&gt;0,FALSE,TRUE)))),A9&lt;&gt;""))</formula>
    </cfRule>
    <cfRule type="expression" dxfId="1630" priority="1775">
      <formula>IF(LEN(DM9)&gt;0,1,0)</formula>
    </cfRule>
    <cfRule type="expression" dxfId="1629" priority="1776">
      <formula>IF(VLOOKUP($DM$3,requiredAttributePTDMap,MATCH($A9,attributeMapFeedProductType,0)+1,FALSE)&gt;0,1,0)</formula>
    </cfRule>
    <cfRule type="expression" dxfId="1628" priority="1777">
      <formula>IF(VLOOKUP($DM$3,optionalAttributePTDMap,MATCH($A9,attributeMapFeedProductType,0)+1,FALSE)&gt;0,1,0)</formula>
    </cfRule>
    <cfRule type="expression" dxfId="1627" priority="1778">
      <formula>IF(VLOOKUP($DM$3,preferredAttributePTDMap,MATCH($A9,attributeMapFeedProductType,0)+1,FALSE)&gt;0,1,0)</formula>
    </cfRule>
    <cfRule type="expression" dxfId="1626" priority="1779">
      <formula>AND(IF(IFERROR(VLOOKUP($DM$3,requiredAttributePTDMap,MATCH($A9,attributeMapFeedProductType,0)+1,FALSE),0)&gt;0,0,1),IF(IFERROR(VLOOKUP($DM$3,optionalAttributePTDMap,MATCH($A9,attributeMapFeedProductType,0)+1,FALSE),0)&gt;0,0,1),IF(IFERROR(VLOOKUP($DM$3,preferredAttributePTDMap,MATCH($A9,attributeMapFeedProductType,0)+1,FALSE),0)&gt;0,0,1),IF(IFERROR(MATCH($A9,attributeMapFeedProductType,0),0)&gt;0,1,0))</formula>
    </cfRule>
  </conditionalFormatting>
  <conditionalFormatting sqref="DN9:DN12">
    <cfRule type="expression" dxfId="1625" priority="1780">
      <formula>AND(AND((0)),1=1)</formula>
    </cfRule>
    <cfRule type="expression" dxfId="1624" priority="1781">
      <formula>AND(AND(OR(AND(AND(IF(COUNTIF(CONDITION_LIST_1, DL9)&gt;0,FALSE,TRUE)))),A9&lt;&gt;""))</formula>
    </cfRule>
    <cfRule type="expression" dxfId="1623" priority="1782">
      <formula>IF(LEN(DN9)&gt;0,1,0)</formula>
    </cfRule>
    <cfRule type="expression" dxfId="1622" priority="1783">
      <formula>IF(VLOOKUP($DN$3,requiredAttributePTDMap,MATCH($A9,attributeMapFeedProductType,0)+1,FALSE)&gt;0,1,0)</formula>
    </cfRule>
    <cfRule type="expression" dxfId="1621" priority="1784">
      <formula>IF(VLOOKUP($DN$3,optionalAttributePTDMap,MATCH($A9,attributeMapFeedProductType,0)+1,FALSE)&gt;0,1,0)</formula>
    </cfRule>
    <cfRule type="expression" dxfId="1620" priority="1785">
      <formula>IF(VLOOKUP($DN$3,preferredAttributePTDMap,MATCH($A9,attributeMapFeedProductType,0)+1,FALSE)&gt;0,1,0)</formula>
    </cfRule>
    <cfRule type="expression" dxfId="1619" priority="1786">
      <formula>AND(IF(IFERROR(VLOOKUP($DN$3,requiredAttributePTDMap,MATCH($A9,attributeMapFeedProductType,0)+1,FALSE),0)&gt;0,0,1),IF(IFERROR(VLOOKUP($DN$3,optionalAttributePTDMap,MATCH($A9,attributeMapFeedProductType,0)+1,FALSE),0)&gt;0,0,1),IF(IFERROR(VLOOKUP($DN$3,preferredAttributePTDMap,MATCH($A9,attributeMapFeedProductType,0)+1,FALSE),0)&gt;0,0,1),IF(IFERROR(MATCH($A9,attributeMapFeedProductType,0),0)&gt;0,1,0))</formula>
    </cfRule>
  </conditionalFormatting>
  <conditionalFormatting sqref="DO9:DO12">
    <cfRule type="expression" dxfId="1618" priority="1787">
      <formula>AND(AND((0)),1=1)</formula>
    </cfRule>
    <cfRule type="expression" dxfId="1617" priority="1788">
      <formula>AND(AND(OR(AND(AND(IF(COUNTIF(CONDITION_LIST_1, DL9)&gt;0,FALSE,TRUE)))),A9&lt;&gt;""))</formula>
    </cfRule>
    <cfRule type="expression" dxfId="1616" priority="1789">
      <formula>IF(LEN(DO9)&gt;0,1,0)</formula>
    </cfRule>
    <cfRule type="expression" dxfId="1615" priority="1790">
      <formula>IF(VLOOKUP($DO$3,requiredAttributePTDMap,MATCH($A9,attributeMapFeedProductType,0)+1,FALSE)&gt;0,1,0)</formula>
    </cfRule>
    <cfRule type="expression" dxfId="1614" priority="1791">
      <formula>IF(VLOOKUP($DO$3,optionalAttributePTDMap,MATCH($A9,attributeMapFeedProductType,0)+1,FALSE)&gt;0,1,0)</formula>
    </cfRule>
    <cfRule type="expression" dxfId="1613" priority="1792">
      <formula>IF(VLOOKUP($DO$3,preferredAttributePTDMap,MATCH($A9,attributeMapFeedProductType,0)+1,FALSE)&gt;0,1,0)</formula>
    </cfRule>
    <cfRule type="expression" dxfId="1612" priority="1793">
      <formula>AND(IF(IFERROR(VLOOKUP($DO$3,requiredAttributePTDMap,MATCH($A9,attributeMapFeedProductType,0)+1,FALSE),0)&gt;0,0,1),IF(IFERROR(VLOOKUP($DO$3,optionalAttributePTDMap,MATCH($A9,attributeMapFeedProductType,0)+1,FALSE),0)&gt;0,0,1),IF(IFERROR(VLOOKUP($DO$3,preferredAttributePTDMap,MATCH($A9,attributeMapFeedProductType,0)+1,FALSE),0)&gt;0,0,1),IF(IFERROR(MATCH($A9,attributeMapFeedProductType,0),0)&gt;0,1,0))</formula>
    </cfRule>
  </conditionalFormatting>
  <conditionalFormatting sqref="DP9:DP12">
    <cfRule type="expression" dxfId="1611" priority="1794">
      <formula>AND(AND((0)),1=1)</formula>
    </cfRule>
    <cfRule type="expression" dxfId="1610" priority="1795">
      <formula>AND(AND(OR(AND(AND(IF(COUNTIF(CONDITION_LIST_1, DL9)&gt;0,FALSE,TRUE)))),A9&lt;&gt;""))</formula>
    </cfRule>
    <cfRule type="expression" dxfId="1609" priority="1796">
      <formula>IF(LEN(DP9)&gt;0,1,0)</formula>
    </cfRule>
    <cfRule type="expression" dxfId="1608" priority="1797">
      <formula>IF(VLOOKUP($DP$3,requiredAttributePTDMap,MATCH($A9,attributeMapFeedProductType,0)+1,FALSE)&gt;0,1,0)</formula>
    </cfRule>
    <cfRule type="expression" dxfId="1607" priority="1798">
      <formula>IF(VLOOKUP($DP$3,optionalAttributePTDMap,MATCH($A9,attributeMapFeedProductType,0)+1,FALSE)&gt;0,1,0)</formula>
    </cfRule>
    <cfRule type="expression" dxfId="1606" priority="1799">
      <formula>IF(VLOOKUP($DP$3,preferredAttributePTDMap,MATCH($A9,attributeMapFeedProductType,0)+1,FALSE)&gt;0,1,0)</formula>
    </cfRule>
    <cfRule type="expression" dxfId="1605" priority="1800">
      <formula>AND(IF(IFERROR(VLOOKUP($DP$3,requiredAttributePTDMap,MATCH($A9,attributeMapFeedProductType,0)+1,FALSE),0)&gt;0,0,1),IF(IFERROR(VLOOKUP($DP$3,optionalAttributePTDMap,MATCH($A9,attributeMapFeedProductType,0)+1,FALSE),0)&gt;0,0,1),IF(IFERROR(VLOOKUP($DP$3,preferredAttributePTDMap,MATCH($A9,attributeMapFeedProductType,0)+1,FALSE),0)&gt;0,0,1),IF(IFERROR(MATCH($A9,attributeMapFeedProductType,0),0)&gt;0,1,0))</formula>
    </cfRule>
  </conditionalFormatting>
  <conditionalFormatting sqref="DQ9:DQ12">
    <cfRule type="expression" dxfId="1604" priority="1801">
      <formula>AND(AND((0)),1=1)</formula>
    </cfRule>
    <cfRule type="expression" dxfId="1603" priority="1802">
      <formula>AND(AND(OR(AND(OR(OR(NOT(CH9&lt;&gt;"DEFAULT"),CH9="")))),A9&lt;&gt;""))</formula>
    </cfRule>
    <cfRule type="expression" dxfId="1602" priority="1803">
      <formula>IF(LEN(DQ9)&gt;0,1,0)</formula>
    </cfRule>
    <cfRule type="expression" dxfId="1601" priority="1804">
      <formula>IF(VLOOKUP($DQ$3,requiredAttributePTDMap,MATCH($A9,attributeMapFeedProductType,0)+1,FALSE)&gt;0,1,0)</formula>
    </cfRule>
    <cfRule type="expression" dxfId="1600" priority="1805">
      <formula>IF(VLOOKUP($DQ$3,optionalAttributePTDMap,MATCH($A9,attributeMapFeedProductType,0)+1,FALSE)&gt;0,1,0)</formula>
    </cfRule>
    <cfRule type="expression" dxfId="1599" priority="1806">
      <formula>IF(VLOOKUP($DQ$3,preferredAttributePTDMap,MATCH($A9,attributeMapFeedProductType,0)+1,FALSE)&gt;0,1,0)</formula>
    </cfRule>
    <cfRule type="expression" dxfId="1598" priority="1807">
      <formula>AND(IF(IFERROR(VLOOKUP($DQ$3,requiredAttributePTDMap,MATCH($A9,attributeMapFeedProductType,0)+1,FALSE),0)&gt;0,0,1),IF(IFERROR(VLOOKUP($DQ$3,optionalAttributePTDMap,MATCH($A9,attributeMapFeedProductType,0)+1,FALSE),0)&gt;0,0,1),IF(IFERROR(VLOOKUP($DQ$3,preferredAttributePTDMap,MATCH($A9,attributeMapFeedProductType,0)+1,FALSE),0)&gt;0,0,1),IF(IFERROR(MATCH($A9,attributeMapFeedProductType,0),0)&gt;0,1,0))</formula>
    </cfRule>
  </conditionalFormatting>
  <conditionalFormatting sqref="DR9:DR12">
    <cfRule type="expression" dxfId="1597" priority="1808">
      <formula>AND(AND((0)),1=1)</formula>
    </cfRule>
    <cfRule type="expression" dxfId="1596" priority="1809">
      <formula>AND(AND(OR(AND(OR(OR(NOT(CH9&lt;&gt;"DEFAULT"),CH9="")))),A9&lt;&gt;""))</formula>
    </cfRule>
    <cfRule type="expression" dxfId="1595" priority="1810">
      <formula>IF(LEN(DR9)&gt;0,1,0)</formula>
    </cfRule>
    <cfRule type="expression" dxfId="1594" priority="1811">
      <formula>IF(VLOOKUP($DR$3,requiredAttributePTDMap,MATCH($A9,attributeMapFeedProductType,0)+1,FALSE)&gt;0,1,0)</formula>
    </cfRule>
    <cfRule type="expression" dxfId="1593" priority="1812">
      <formula>IF(VLOOKUP($DR$3,optionalAttributePTDMap,MATCH($A9,attributeMapFeedProductType,0)+1,FALSE)&gt;0,1,0)</formula>
    </cfRule>
    <cfRule type="expression" dxfId="1592" priority="1813">
      <formula>IF(VLOOKUP($DR$3,preferredAttributePTDMap,MATCH($A9,attributeMapFeedProductType,0)+1,FALSE)&gt;0,1,0)</formula>
    </cfRule>
    <cfRule type="expression" dxfId="1591" priority="1814">
      <formula>AND(IF(IFERROR(VLOOKUP($DR$3,requiredAttributePTDMap,MATCH($A9,attributeMapFeedProductType,0)+1,FALSE),0)&gt;0,0,1),IF(IFERROR(VLOOKUP($DR$3,optionalAttributePTDMap,MATCH($A9,attributeMapFeedProductType,0)+1,FALSE),0)&gt;0,0,1),IF(IFERROR(VLOOKUP($DR$3,preferredAttributePTDMap,MATCH($A9,attributeMapFeedProductType,0)+1,FALSE),0)&gt;0,0,1),IF(IFERROR(MATCH($A9,attributeMapFeedProductType,0),0)&gt;0,1,0))</formula>
    </cfRule>
  </conditionalFormatting>
  <conditionalFormatting sqref="DS9:DS12">
    <cfRule type="expression" dxfId="1590" priority="1815">
      <formula>AND(AND((0)),1=1)</formula>
    </cfRule>
    <cfRule type="expression" dxfId="1589" priority="1816">
      <formula>AND(AND(OR(AND(OR(OR(NOT(CH9&lt;&gt;"DEFAULT"),CH9="")))),A9&lt;&gt;""))</formula>
    </cfRule>
    <cfRule type="expression" dxfId="1588" priority="1817">
      <formula>IF(LEN(DS9)&gt;0,1,0)</formula>
    </cfRule>
    <cfRule type="expression" dxfId="1587" priority="1818">
      <formula>IF(VLOOKUP($DS$3,requiredAttributePTDMap,MATCH($A9,attributeMapFeedProductType,0)+1,FALSE)&gt;0,1,0)</formula>
    </cfRule>
    <cfRule type="expression" dxfId="1586" priority="1819">
      <formula>IF(VLOOKUP($DS$3,optionalAttributePTDMap,MATCH($A9,attributeMapFeedProductType,0)+1,FALSE)&gt;0,1,0)</formula>
    </cfRule>
    <cfRule type="expression" dxfId="1585" priority="1820">
      <formula>IF(VLOOKUP($DS$3,preferredAttributePTDMap,MATCH($A9,attributeMapFeedProductType,0)+1,FALSE)&gt;0,1,0)</formula>
    </cfRule>
    <cfRule type="expression" dxfId="1584" priority="1821">
      <formula>AND(IF(IFERROR(VLOOKUP($DS$3,requiredAttributePTDMap,MATCH($A9,attributeMapFeedProductType,0)+1,FALSE),0)&gt;0,0,1),IF(IFERROR(VLOOKUP($DS$3,optionalAttributePTDMap,MATCH($A9,attributeMapFeedProductType,0)+1,FALSE),0)&gt;0,0,1),IF(IFERROR(VLOOKUP($DS$3,preferredAttributePTDMap,MATCH($A9,attributeMapFeedProductType,0)+1,FALSE),0)&gt;0,0,1),IF(IFERROR(MATCH($A9,attributeMapFeedProductType,0),0)&gt;0,1,0))</formula>
    </cfRule>
  </conditionalFormatting>
  <conditionalFormatting sqref="DT9:DT12">
    <cfRule type="expression" dxfId="1583" priority="1822">
      <formula>AND(AND((0)),1=1)</formula>
    </cfRule>
    <cfRule type="expression" dxfId="1582" priority="1823">
      <formula>AND(AND(OR(AND(OR(OR(NOT(CH9&lt;&gt;"DEFAULT"),CH9="")))),A9&lt;&gt;""))</formula>
    </cfRule>
    <cfRule type="expression" dxfId="1581" priority="1824">
      <formula>IF(LEN(DT9)&gt;0,1,0)</formula>
    </cfRule>
    <cfRule type="expression" dxfId="1580" priority="1825">
      <formula>IF(VLOOKUP($DT$3,requiredAttributePTDMap,MATCH($A9,attributeMapFeedProductType,0)+1,FALSE)&gt;0,1,0)</formula>
    </cfRule>
    <cfRule type="expression" dxfId="1579" priority="1826">
      <formula>IF(VLOOKUP($DT$3,optionalAttributePTDMap,MATCH($A9,attributeMapFeedProductType,0)+1,FALSE)&gt;0,1,0)</formula>
    </cfRule>
    <cfRule type="expression" dxfId="1578" priority="1827">
      <formula>IF(VLOOKUP($DT$3,preferredAttributePTDMap,MATCH($A9,attributeMapFeedProductType,0)+1,FALSE)&gt;0,1,0)</formula>
    </cfRule>
    <cfRule type="expression" dxfId="1577" priority="1828">
      <formula>AND(IF(IFERROR(VLOOKUP($DT$3,requiredAttributePTDMap,MATCH($A9,attributeMapFeedProductType,0)+1,FALSE),0)&gt;0,0,1),IF(IFERROR(VLOOKUP($DT$3,optionalAttributePTDMap,MATCH($A9,attributeMapFeedProductType,0)+1,FALSE),0)&gt;0,0,1),IF(IFERROR(VLOOKUP($DT$3,preferredAttributePTDMap,MATCH($A9,attributeMapFeedProductType,0)+1,FALSE),0)&gt;0,0,1),IF(IFERROR(MATCH($A9,attributeMapFeedProductType,0),0)&gt;0,1,0))</formula>
    </cfRule>
  </conditionalFormatting>
  <conditionalFormatting sqref="DU9:DU12">
    <cfRule type="expression" dxfId="1576" priority="1829">
      <formula>AND(AND((0)),1=1)</formula>
    </cfRule>
    <cfRule type="expression" dxfId="1575" priority="1830">
      <formula>AND(AND(OR(AND(OR(OR(NOT(CH9&lt;&gt;"DEFAULT"),CH9="")))),A9&lt;&gt;""))</formula>
    </cfRule>
    <cfRule type="expression" dxfId="1574" priority="1831">
      <formula>IF(LEN(DU9)&gt;0,1,0)</formula>
    </cfRule>
    <cfRule type="expression" dxfId="1573" priority="1832">
      <formula>IF(VLOOKUP($DU$3,requiredAttributePTDMap,MATCH($A9,attributeMapFeedProductType,0)+1,FALSE)&gt;0,1,0)</formula>
    </cfRule>
    <cfRule type="expression" dxfId="1572" priority="1833">
      <formula>IF(VLOOKUP($DU$3,optionalAttributePTDMap,MATCH($A9,attributeMapFeedProductType,0)+1,FALSE)&gt;0,1,0)</formula>
    </cfRule>
    <cfRule type="expression" dxfId="1571" priority="1834">
      <formula>IF(VLOOKUP($DU$3,preferredAttributePTDMap,MATCH($A9,attributeMapFeedProductType,0)+1,FALSE)&gt;0,1,0)</formula>
    </cfRule>
    <cfRule type="expression" dxfId="1570" priority="1835">
      <formula>AND(IF(IFERROR(VLOOKUP($DU$3,requiredAttributePTDMap,MATCH($A9,attributeMapFeedProductType,0)+1,FALSE),0)&gt;0,0,1),IF(IFERROR(VLOOKUP($DU$3,optionalAttributePTDMap,MATCH($A9,attributeMapFeedProductType,0)+1,FALSE),0)&gt;0,0,1),IF(IFERROR(VLOOKUP($DU$3,preferredAttributePTDMap,MATCH($A9,attributeMapFeedProductType,0)+1,FALSE),0)&gt;0,0,1),IF(IFERROR(MATCH($A9,attributeMapFeedProductType,0),0)&gt;0,1,0))</formula>
    </cfRule>
  </conditionalFormatting>
  <conditionalFormatting sqref="DV9:DV12">
    <cfRule type="expression" dxfId="1569" priority="1836">
      <formula>AND(AND((0)),1=1)</formula>
    </cfRule>
    <cfRule type="expression" dxfId="1568" priority="1837">
      <formula>AND(AND(OR(AND(AND(IF(COUNTIF(CONDITION_LIST_2, DQ9)&gt;0,FALSE,TRUE)),AND(IF(COUNTIF(CONDITION_LIST_2, DR9)&gt;0,FALSE,TRUE)),AND(IF(COUNTIF(CONDITION_LIST_2, DS9)&gt;0,FALSE,TRUE)),AND(IF(COUNTIF(CONDITION_LIST_2, DT9)&gt;0,FALSE,TRUE)),AND(IF(COUNTIF(CONDITION_LIST_2, DU9)&gt;0,FALSE,TRUE)))),A9&lt;&gt;""))</formula>
    </cfRule>
    <cfRule type="expression" dxfId="1567" priority="1838">
      <formula>IF(LEN(DV9)&gt;0,1,0)</formula>
    </cfRule>
    <cfRule type="expression" dxfId="1566" priority="1839">
      <formula>IF(VLOOKUP($DV$3,requiredAttributePTDMap,MATCH($A9,attributeMapFeedProductType,0)+1,FALSE)&gt;0,1,0)</formula>
    </cfRule>
    <cfRule type="expression" dxfId="1565" priority="1840">
      <formula>IF(VLOOKUP($DV$3,optionalAttributePTDMap,MATCH($A9,attributeMapFeedProductType,0)+1,FALSE)&gt;0,1,0)</formula>
    </cfRule>
    <cfRule type="expression" dxfId="1564" priority="1841">
      <formula>IF(VLOOKUP($DV$3,preferredAttributePTDMap,MATCH($A9,attributeMapFeedProductType,0)+1,FALSE)&gt;0,1,0)</formula>
    </cfRule>
    <cfRule type="expression" dxfId="1563" priority="1842">
      <formula>AND(IF(IFERROR(VLOOKUP($DV$3,requiredAttributePTDMap,MATCH($A9,attributeMapFeedProductType,0)+1,FALSE),0)&gt;0,0,1),IF(IFERROR(VLOOKUP($DV$3,optionalAttributePTDMap,MATCH($A9,attributeMapFeedProductType,0)+1,FALSE),0)&gt;0,0,1),IF(IFERROR(VLOOKUP($DV$3,preferredAttributePTDMap,MATCH($A9,attributeMapFeedProductType,0)+1,FALSE),0)&gt;0,0,1),IF(IFERROR(MATCH($A9,attributeMapFeedProductType,0),0)&gt;0,1,0))</formula>
    </cfRule>
  </conditionalFormatting>
  <conditionalFormatting sqref="DW9:DW12">
    <cfRule type="expression" dxfId="1562" priority="1843">
      <formula>AND(AND((0)),1=1)</formula>
    </cfRule>
    <cfRule type="expression" dxfId="1561" priority="1844">
      <formula>AND(AND(OR(AND(OR(OR(NOT(DQ9&lt;&gt;"GHS"),DQ9="")),OR(OR(NOT(DR9&lt;&gt;"GHS"),DR9="")),OR(OR(NOT(DS9&lt;&gt;"GHS"),DS9="")),OR(OR(NOT(DT9&lt;&gt;"GHS"),DT9="")),OR(OR(NOT(DU9&lt;&gt;"GHS"),DU9="")))),A9&lt;&gt;""))</formula>
    </cfRule>
    <cfRule type="expression" dxfId="1560" priority="1845">
      <formula>IF(LEN(DW9)&gt;0,1,0)</formula>
    </cfRule>
    <cfRule type="expression" dxfId="1559" priority="1846">
      <formula>IF(VLOOKUP($DW$3,requiredAttributePTDMap,MATCH($A9,attributeMapFeedProductType,0)+1,FALSE)&gt;0,1,0)</formula>
    </cfRule>
    <cfRule type="expression" dxfId="1558" priority="1847">
      <formula>IF(VLOOKUP($DW$3,optionalAttributePTDMap,MATCH($A9,attributeMapFeedProductType,0)+1,FALSE)&gt;0,1,0)</formula>
    </cfRule>
    <cfRule type="expression" dxfId="1557" priority="1848">
      <formula>IF(VLOOKUP($DW$3,preferredAttributePTDMap,MATCH($A9,attributeMapFeedProductType,0)+1,FALSE)&gt;0,1,0)</formula>
    </cfRule>
    <cfRule type="expression" dxfId="1556" priority="1849">
      <formula>AND(IF(IFERROR(VLOOKUP($DW$3,requiredAttributePTDMap,MATCH($A9,attributeMapFeedProductType,0)+1,FALSE),0)&gt;0,0,1),IF(IFERROR(VLOOKUP($DW$3,optionalAttributePTDMap,MATCH($A9,attributeMapFeedProductType,0)+1,FALSE),0)&gt;0,0,1),IF(IFERROR(VLOOKUP($DW$3,preferredAttributePTDMap,MATCH($A9,attributeMapFeedProductType,0)+1,FALSE),0)&gt;0,0,1),IF(IFERROR(MATCH($A9,attributeMapFeedProductType,0),0)&gt;0,1,0))</formula>
    </cfRule>
  </conditionalFormatting>
  <conditionalFormatting sqref="DX9:DX12">
    <cfRule type="expression" dxfId="1555" priority="1850">
      <formula>IF(LEN(DX9)&gt;0,1,0)</formula>
    </cfRule>
    <cfRule type="expression" dxfId="1554" priority="1851">
      <formula>IF(VLOOKUP($DX$3,requiredAttributePTDMap,MATCH($A9,attributeMapFeedProductType,0)+1,FALSE)&gt;0,1,0)</formula>
    </cfRule>
    <cfRule type="expression" dxfId="1553" priority="1852">
      <formula>IF(VLOOKUP($DX$3,optionalAttributePTDMap,MATCH($A9,attributeMapFeedProductType,0)+1,FALSE)&gt;0,1,0)</formula>
    </cfRule>
    <cfRule type="expression" dxfId="1552" priority="1853">
      <formula>IF(VLOOKUP($DX$3,preferredAttributePTDMap,MATCH($A9,attributeMapFeedProductType,0)+1,FALSE)&gt;0,1,0)</formula>
    </cfRule>
    <cfRule type="expression" dxfId="1551" priority="1854">
      <formula>AND(IF(IFERROR(VLOOKUP($DX$3,requiredAttributePTDMap,MATCH($A9,attributeMapFeedProductType,0)+1,FALSE),0)&gt;0,0,1),IF(IFERROR(VLOOKUP($DX$3,optionalAttributePTDMap,MATCH($A9,attributeMapFeedProductType,0)+1,FALSE),0)&gt;0,0,1),IF(IFERROR(VLOOKUP($DX$3,preferredAttributePTDMap,MATCH($A9,attributeMapFeedProductType,0)+1,FALSE),0)&gt;0,0,1),IF(IFERROR(MATCH($A9,attributeMapFeedProductType,0),0)&gt;0,1,0))</formula>
    </cfRule>
  </conditionalFormatting>
  <conditionalFormatting sqref="DY9:DY12">
    <cfRule type="expression" dxfId="1550" priority="1855">
      <formula>IF(LEN(DY9)&gt;0,1,0)</formula>
    </cfRule>
    <cfRule type="expression" dxfId="1549" priority="1856">
      <formula>IF(VLOOKUP($DY$3,requiredAttributePTDMap,MATCH($A9,attributeMapFeedProductType,0)+1,FALSE)&gt;0,1,0)</formula>
    </cfRule>
    <cfRule type="expression" dxfId="1548" priority="1857">
      <formula>IF(VLOOKUP($DY$3,optionalAttributePTDMap,MATCH($A9,attributeMapFeedProductType,0)+1,FALSE)&gt;0,1,0)</formula>
    </cfRule>
    <cfRule type="expression" dxfId="1547" priority="1858">
      <formula>IF(VLOOKUP($DY$3,preferredAttributePTDMap,MATCH($A9,attributeMapFeedProductType,0)+1,FALSE)&gt;0,1,0)</formula>
    </cfRule>
    <cfRule type="expression" dxfId="1546" priority="1859">
      <formula>AND(IF(IFERROR(VLOOKUP($DY$3,requiredAttributePTDMap,MATCH($A9,attributeMapFeedProductType,0)+1,FALSE),0)&gt;0,0,1),IF(IFERROR(VLOOKUP($DY$3,optionalAttributePTDMap,MATCH($A9,attributeMapFeedProductType,0)+1,FALSE),0)&gt;0,0,1),IF(IFERROR(VLOOKUP($DY$3,preferredAttributePTDMap,MATCH($A9,attributeMapFeedProductType,0)+1,FALSE),0)&gt;0,0,1),IF(IFERROR(MATCH($A9,attributeMapFeedProductType,0),0)&gt;0,1,0))</formula>
    </cfRule>
  </conditionalFormatting>
  <conditionalFormatting sqref="DZ9:DZ12">
    <cfRule type="expression" dxfId="1545" priority="1860">
      <formula>IF(LEN(DZ9)&gt;0,1,0)</formula>
    </cfRule>
    <cfRule type="expression" dxfId="1544" priority="1861">
      <formula>IF(VLOOKUP($DZ$3,requiredAttributePTDMap,MATCH($A9,attributeMapFeedProductType,0)+1,FALSE)&gt;0,1,0)</formula>
    </cfRule>
    <cfRule type="expression" dxfId="1543" priority="1862">
      <formula>IF(VLOOKUP($DZ$3,optionalAttributePTDMap,MATCH($A9,attributeMapFeedProductType,0)+1,FALSE)&gt;0,1,0)</formula>
    </cfRule>
    <cfRule type="expression" dxfId="1542" priority="1863">
      <formula>IF(VLOOKUP($DZ$3,preferredAttributePTDMap,MATCH($A9,attributeMapFeedProductType,0)+1,FALSE)&gt;0,1,0)</formula>
    </cfRule>
    <cfRule type="expression" dxfId="1541" priority="1864">
      <formula>AND(IF(IFERROR(VLOOKUP($DZ$3,requiredAttributePTDMap,MATCH($A9,attributeMapFeedProductType,0)+1,FALSE),0)&gt;0,0,1),IF(IFERROR(VLOOKUP($DZ$3,optionalAttributePTDMap,MATCH($A9,attributeMapFeedProductType,0)+1,FALSE),0)&gt;0,0,1),IF(IFERROR(VLOOKUP($DZ$3,preferredAttributePTDMap,MATCH($A9,attributeMapFeedProductType,0)+1,FALSE),0)&gt;0,0,1),IF(IFERROR(MATCH($A9,attributeMapFeedProductType,0),0)&gt;0,1,0))</formula>
    </cfRule>
  </conditionalFormatting>
  <conditionalFormatting sqref="EA9:EA12">
    <cfRule type="expression" dxfId="1540" priority="1865">
      <formula>IF(LEN(EA9)&gt;0,1,0)</formula>
    </cfRule>
    <cfRule type="expression" dxfId="1539" priority="1866">
      <formula>IF(VLOOKUP($EA$3,requiredAttributePTDMap,MATCH($A9,attributeMapFeedProductType,0)+1,FALSE)&gt;0,1,0)</formula>
    </cfRule>
    <cfRule type="expression" dxfId="1538" priority="1867">
      <formula>IF(VLOOKUP($EA$3,optionalAttributePTDMap,MATCH($A9,attributeMapFeedProductType,0)+1,FALSE)&gt;0,1,0)</formula>
    </cfRule>
    <cfRule type="expression" dxfId="1537" priority="1868">
      <formula>IF(VLOOKUP($EA$3,preferredAttributePTDMap,MATCH($A9,attributeMapFeedProductType,0)+1,FALSE)&gt;0,1,0)</formula>
    </cfRule>
    <cfRule type="expression" dxfId="1536" priority="1869">
      <formula>AND(IF(IFERROR(VLOOKUP($EA$3,requiredAttributePTDMap,MATCH($A9,attributeMapFeedProductType,0)+1,FALSE),0)&gt;0,0,1),IF(IFERROR(VLOOKUP($EA$3,optionalAttributePTDMap,MATCH($A9,attributeMapFeedProductType,0)+1,FALSE),0)&gt;0,0,1),IF(IFERROR(VLOOKUP($EA$3,preferredAttributePTDMap,MATCH($A9,attributeMapFeedProductType,0)+1,FALSE),0)&gt;0,0,1),IF(IFERROR(MATCH($A9,attributeMapFeedProductType,0),0)&gt;0,1,0))</formula>
    </cfRule>
  </conditionalFormatting>
  <conditionalFormatting sqref="EB9:EB12">
    <cfRule type="expression" dxfId="1535" priority="1870">
      <formula>IF(LEN(EB9)&gt;0,1,0)</formula>
    </cfRule>
    <cfRule type="expression" dxfId="1534" priority="1871">
      <formula>IF(VLOOKUP($EB$3,requiredAttributePTDMap,MATCH($A9,attributeMapFeedProductType,0)+1,FALSE)&gt;0,1,0)</formula>
    </cfRule>
    <cfRule type="expression" dxfId="1533" priority="1872">
      <formula>IF(VLOOKUP($EB$3,optionalAttributePTDMap,MATCH($A9,attributeMapFeedProductType,0)+1,FALSE)&gt;0,1,0)</formula>
    </cfRule>
    <cfRule type="expression" dxfId="1532" priority="1873">
      <formula>IF(VLOOKUP($EB$3,preferredAttributePTDMap,MATCH($A9,attributeMapFeedProductType,0)+1,FALSE)&gt;0,1,0)</formula>
    </cfRule>
    <cfRule type="expression" dxfId="1531" priority="1874">
      <formula>AND(IF(IFERROR(VLOOKUP($EB$3,requiredAttributePTDMap,MATCH($A9,attributeMapFeedProductType,0)+1,FALSE),0)&gt;0,0,1),IF(IFERROR(VLOOKUP($EB$3,optionalAttributePTDMap,MATCH($A9,attributeMapFeedProductType,0)+1,FALSE),0)&gt;0,0,1),IF(IFERROR(VLOOKUP($EB$3,preferredAttributePTDMap,MATCH($A9,attributeMapFeedProductType,0)+1,FALSE),0)&gt;0,0,1),IF(IFERROR(MATCH($A9,attributeMapFeedProductType,0),0)&gt;0,1,0))</formula>
    </cfRule>
  </conditionalFormatting>
  <conditionalFormatting sqref="EC9:EC12">
    <cfRule type="expression" dxfId="1530" priority="1875">
      <formula>IF(LEN(EC9)&gt;0,1,0)</formula>
    </cfRule>
    <cfRule type="expression" dxfId="1529" priority="1876">
      <formula>IF(VLOOKUP($EC$3,requiredAttributePTDMap,MATCH($A9,attributeMapFeedProductType,0)+1,FALSE)&gt;0,1,0)</formula>
    </cfRule>
    <cfRule type="expression" dxfId="1528" priority="1877">
      <formula>IF(VLOOKUP($EC$3,optionalAttributePTDMap,MATCH($A9,attributeMapFeedProductType,0)+1,FALSE)&gt;0,1,0)</formula>
    </cfRule>
    <cfRule type="expression" dxfId="1527" priority="1878">
      <formula>IF(VLOOKUP($EC$3,preferredAttributePTDMap,MATCH($A9,attributeMapFeedProductType,0)+1,FALSE)&gt;0,1,0)</formula>
    </cfRule>
    <cfRule type="expression" dxfId="1526" priority="1879">
      <formula>AND(IF(IFERROR(VLOOKUP($EC$3,requiredAttributePTDMap,MATCH($A9,attributeMapFeedProductType,0)+1,FALSE),0)&gt;0,0,1),IF(IFERROR(VLOOKUP($EC$3,optionalAttributePTDMap,MATCH($A9,attributeMapFeedProductType,0)+1,FALSE),0)&gt;0,0,1),IF(IFERROR(VLOOKUP($EC$3,preferredAttributePTDMap,MATCH($A9,attributeMapFeedProductType,0)+1,FALSE),0)&gt;0,0,1),IF(IFERROR(MATCH($A9,attributeMapFeedProductType,0),0)&gt;0,1,0))</formula>
    </cfRule>
  </conditionalFormatting>
  <conditionalFormatting sqref="ED9:ED12">
    <cfRule type="expression" dxfId="1525" priority="1880">
      <formula>IF(LEN(ED9)&gt;0,1,0)</formula>
    </cfRule>
    <cfRule type="expression" dxfId="1524" priority="1881">
      <formula>IF(VLOOKUP($ED$3,requiredAttributePTDMap,MATCH($A9,attributeMapFeedProductType,0)+1,FALSE)&gt;0,1,0)</formula>
    </cfRule>
    <cfRule type="expression" dxfId="1523" priority="1882">
      <formula>IF(VLOOKUP($ED$3,optionalAttributePTDMap,MATCH($A9,attributeMapFeedProductType,0)+1,FALSE)&gt;0,1,0)</formula>
    </cfRule>
    <cfRule type="expression" dxfId="1522" priority="1883">
      <formula>IF(VLOOKUP($ED$3,preferredAttributePTDMap,MATCH($A9,attributeMapFeedProductType,0)+1,FALSE)&gt;0,1,0)</formula>
    </cfRule>
    <cfRule type="expression" dxfId="1521" priority="1884">
      <formula>AND(IF(IFERROR(VLOOKUP($ED$3,requiredAttributePTDMap,MATCH($A9,attributeMapFeedProductType,0)+1,FALSE),0)&gt;0,0,1),IF(IFERROR(VLOOKUP($ED$3,optionalAttributePTDMap,MATCH($A9,attributeMapFeedProductType,0)+1,FALSE),0)&gt;0,0,1),IF(IFERROR(VLOOKUP($ED$3,preferredAttributePTDMap,MATCH($A9,attributeMapFeedProductType,0)+1,FALSE),0)&gt;0,0,1),IF(IFERROR(MATCH($A9,attributeMapFeedProductType,0),0)&gt;0,1,0))</formula>
    </cfRule>
  </conditionalFormatting>
  <conditionalFormatting sqref="EE9:EE12">
    <cfRule type="expression" dxfId="1520" priority="1885">
      <formula>AND(AND((0)),1=1)</formula>
    </cfRule>
    <cfRule type="expression" dxfId="1519" priority="1886">
      <formula>AND(AND(OR(AND(AND(IF(COUNTIF(CONDITION_LIST_3, DQ9)&gt;0,FALSE,TRUE)),AND(IF(COUNTIF(CONDITION_LIST_3, DR9)&gt;0,FALSE,TRUE)),AND(IF(COUNTIF(CONDITION_LIST_3, DS9)&gt;0,FALSE,TRUE)),AND(IF(COUNTIF(CONDITION_LIST_3, DT9)&gt;0,FALSE,TRUE)),AND(IF(COUNTIF(CONDITION_LIST_3, DU9)&gt;0,FALSE,TRUE)))),A9&lt;&gt;""))</formula>
    </cfRule>
    <cfRule type="expression" dxfId="1518" priority="1887">
      <formula>IF(LEN(EE9)&gt;0,1,0)</formula>
    </cfRule>
    <cfRule type="expression" dxfId="1517" priority="1888">
      <formula>IF(VLOOKUP($EE$3,requiredAttributePTDMap,MATCH($A9,attributeMapFeedProductType,0)+1,FALSE)&gt;0,1,0)</formula>
    </cfRule>
    <cfRule type="expression" dxfId="1516" priority="1889">
      <formula>IF(VLOOKUP($EE$3,optionalAttributePTDMap,MATCH($A9,attributeMapFeedProductType,0)+1,FALSE)&gt;0,1,0)</formula>
    </cfRule>
    <cfRule type="expression" dxfId="1515" priority="1890">
      <formula>IF(VLOOKUP($EE$3,preferredAttributePTDMap,MATCH($A9,attributeMapFeedProductType,0)+1,FALSE)&gt;0,1,0)</formula>
    </cfRule>
    <cfRule type="expression" dxfId="1514" priority="1891">
      <formula>AND(IF(IFERROR(VLOOKUP($EE$3,requiredAttributePTDMap,MATCH($A9,attributeMapFeedProductType,0)+1,FALSE),0)&gt;0,0,1),IF(IFERROR(VLOOKUP($EE$3,optionalAttributePTDMap,MATCH($A9,attributeMapFeedProductType,0)+1,FALSE),0)&gt;0,0,1),IF(IFERROR(VLOOKUP($EE$3,preferredAttributePTDMap,MATCH($A9,attributeMapFeedProductType,0)+1,FALSE),0)&gt;0,0,1),IF(IFERROR(MATCH($A9,attributeMapFeedProductType,0),0)&gt;0,1,0))</formula>
    </cfRule>
  </conditionalFormatting>
  <conditionalFormatting sqref="EF9:EF12">
    <cfRule type="expression" dxfId="1513" priority="1892">
      <formula>AND(AND((0)),1=1)</formula>
    </cfRule>
    <cfRule type="expression" dxfId="1512" priority="1893">
      <formula>AND(AND(OR(AND(AND(IF(COUNTIF(CONDITION_LIST_3, DQ9)&gt;0,FALSE,TRUE)),AND(IF(COUNTIF(CONDITION_LIST_3, DR9)&gt;0,FALSE,TRUE)),AND(IF(COUNTIF(CONDITION_LIST_3, DS9)&gt;0,FALSE,TRUE)),AND(IF(COUNTIF(CONDITION_LIST_3, DT9)&gt;0,FALSE,TRUE)),AND(IF(COUNTIF(CONDITION_LIST_3, DU9)&gt;0,FALSE,TRUE)))),A9&lt;&gt;""))</formula>
    </cfRule>
    <cfRule type="expression" dxfId="1511" priority="1894">
      <formula>IF(LEN(EF9)&gt;0,1,0)</formula>
    </cfRule>
    <cfRule type="expression" dxfId="1510" priority="1895">
      <formula>IF(VLOOKUP($EF$3,requiredAttributePTDMap,MATCH($A9,attributeMapFeedProductType,0)+1,FALSE)&gt;0,1,0)</formula>
    </cfRule>
    <cfRule type="expression" dxfId="1509" priority="1896">
      <formula>IF(VLOOKUP($EF$3,optionalAttributePTDMap,MATCH($A9,attributeMapFeedProductType,0)+1,FALSE)&gt;0,1,0)</formula>
    </cfRule>
    <cfRule type="expression" dxfId="1508" priority="1897">
      <formula>IF(VLOOKUP($EF$3,preferredAttributePTDMap,MATCH($A9,attributeMapFeedProductType,0)+1,FALSE)&gt;0,1,0)</formula>
    </cfRule>
    <cfRule type="expression" dxfId="1507" priority="1898">
      <formula>AND(IF(IFERROR(VLOOKUP($EF$3,requiredAttributePTDMap,MATCH($A9,attributeMapFeedProductType,0)+1,FALSE),0)&gt;0,0,1),IF(IFERROR(VLOOKUP($EF$3,optionalAttributePTDMap,MATCH($A9,attributeMapFeedProductType,0)+1,FALSE),0)&gt;0,0,1),IF(IFERROR(VLOOKUP($EF$3,preferredAttributePTDMap,MATCH($A9,attributeMapFeedProductType,0)+1,FALSE),0)&gt;0,0,1),IF(IFERROR(MATCH($A9,attributeMapFeedProductType,0),0)&gt;0,1,0))</formula>
    </cfRule>
  </conditionalFormatting>
  <conditionalFormatting sqref="EG9:EG12">
    <cfRule type="expression" dxfId="1506" priority="1899">
      <formula>AND(AND((0)),1=1)</formula>
    </cfRule>
    <cfRule type="expression" dxfId="1505" priority="1900">
      <formula>AND(AND(OR(AND(AND(IF(COUNTIF(CONDITION_LIST_3, DQ9)&gt;0,FALSE,TRUE)),AND(IF(COUNTIF(CONDITION_LIST_3, DR9)&gt;0,FALSE,TRUE)),AND(IF(COUNTIF(CONDITION_LIST_3, DS9)&gt;0,FALSE,TRUE)),AND(IF(COUNTIF(CONDITION_LIST_3, DT9)&gt;0,FALSE,TRUE)),AND(IF(COUNTIF(CONDITION_LIST_3, DU9)&gt;0,FALSE,TRUE)))),A9&lt;&gt;""))</formula>
    </cfRule>
    <cfRule type="expression" dxfId="1504" priority="1901">
      <formula>IF(LEN(EG9)&gt;0,1,0)</formula>
    </cfRule>
    <cfRule type="expression" dxfId="1503" priority="1902">
      <formula>IF(VLOOKUP($EG$3,requiredAttributePTDMap,MATCH($A9,attributeMapFeedProductType,0)+1,FALSE)&gt;0,1,0)</formula>
    </cfRule>
    <cfRule type="expression" dxfId="1502" priority="1903">
      <formula>IF(VLOOKUP($EG$3,optionalAttributePTDMap,MATCH($A9,attributeMapFeedProductType,0)+1,FALSE)&gt;0,1,0)</formula>
    </cfRule>
    <cfRule type="expression" dxfId="1501" priority="1904">
      <formula>IF(VLOOKUP($EG$3,preferredAttributePTDMap,MATCH($A9,attributeMapFeedProductType,0)+1,FALSE)&gt;0,1,0)</formula>
    </cfRule>
    <cfRule type="expression" dxfId="1500" priority="1905">
      <formula>AND(IF(IFERROR(VLOOKUP($EG$3,requiredAttributePTDMap,MATCH($A9,attributeMapFeedProductType,0)+1,FALSE),0)&gt;0,0,1),IF(IFERROR(VLOOKUP($EG$3,optionalAttributePTDMap,MATCH($A9,attributeMapFeedProductType,0)+1,FALSE),0)&gt;0,0,1),IF(IFERROR(VLOOKUP($EG$3,preferredAttributePTDMap,MATCH($A9,attributeMapFeedProductType,0)+1,FALSE),0)&gt;0,0,1),IF(IFERROR(MATCH($A9,attributeMapFeedProductType,0),0)&gt;0,1,0))</formula>
    </cfRule>
  </conditionalFormatting>
  <conditionalFormatting sqref="EH9:EH12">
    <cfRule type="expression" dxfId="1499" priority="1906">
      <formula>IF(LEN(EH9)&gt;0,1,0)</formula>
    </cfRule>
    <cfRule type="expression" dxfId="1498" priority="1907">
      <formula>IF(VLOOKUP($EH$3,requiredAttributePTDMap,MATCH($A9,attributeMapFeedProductType,0)+1,FALSE)&gt;0,1,0)</formula>
    </cfRule>
    <cfRule type="expression" dxfId="1497" priority="1908">
      <formula>IF(VLOOKUP($EH$3,optionalAttributePTDMap,MATCH($A9,attributeMapFeedProductType,0)+1,FALSE)&gt;0,1,0)</formula>
    </cfRule>
    <cfRule type="expression" dxfId="1496" priority="1909">
      <formula>IF(VLOOKUP($EH$3,preferredAttributePTDMap,MATCH($A9,attributeMapFeedProductType,0)+1,FALSE)&gt;0,1,0)</formula>
    </cfRule>
    <cfRule type="expression" dxfId="1495" priority="1910">
      <formula>AND(IF(IFERROR(VLOOKUP($EH$3,requiredAttributePTDMap,MATCH($A9,attributeMapFeedProductType,0)+1,FALSE),0)&gt;0,0,1),IF(IFERROR(VLOOKUP($EH$3,optionalAttributePTDMap,MATCH($A9,attributeMapFeedProductType,0)+1,FALSE),0)&gt;0,0,1),IF(IFERROR(VLOOKUP($EH$3,preferredAttributePTDMap,MATCH($A9,attributeMapFeedProductType,0)+1,FALSE),0)&gt;0,0,1),IF(IFERROR(MATCH($A9,attributeMapFeedProductType,0),0)&gt;0,1,0))</formula>
    </cfRule>
  </conditionalFormatting>
  <conditionalFormatting sqref="EI9:EI12">
    <cfRule type="expression" dxfId="1494" priority="1911">
      <formula>IF(LEN(EI9)&gt;0,1,0)</formula>
    </cfRule>
    <cfRule type="expression" dxfId="1493" priority="1912">
      <formula>IF(VLOOKUP($EI$3,requiredAttributePTDMap,MATCH($A9,attributeMapFeedProductType,0)+1,FALSE)&gt;0,1,0)</formula>
    </cfRule>
    <cfRule type="expression" dxfId="1492" priority="1913">
      <formula>IF(VLOOKUP($EI$3,optionalAttributePTDMap,MATCH($A9,attributeMapFeedProductType,0)+1,FALSE)&gt;0,1,0)</formula>
    </cfRule>
    <cfRule type="expression" dxfId="1491" priority="1914">
      <formula>IF(VLOOKUP($EI$3,preferredAttributePTDMap,MATCH($A9,attributeMapFeedProductType,0)+1,FALSE)&gt;0,1,0)</formula>
    </cfRule>
    <cfRule type="expression" dxfId="1490" priority="1915">
      <formula>AND(IF(IFERROR(VLOOKUP($EI$3,requiredAttributePTDMap,MATCH($A9,attributeMapFeedProductType,0)+1,FALSE),0)&gt;0,0,1),IF(IFERROR(VLOOKUP($EI$3,optionalAttributePTDMap,MATCH($A9,attributeMapFeedProductType,0)+1,FALSE),0)&gt;0,0,1),IF(IFERROR(VLOOKUP($EI$3,preferredAttributePTDMap,MATCH($A9,attributeMapFeedProductType,0)+1,FALSE),0)&gt;0,0,1),IF(IFERROR(MATCH($A9,attributeMapFeedProductType,0),0)&gt;0,1,0))</formula>
    </cfRule>
  </conditionalFormatting>
  <conditionalFormatting sqref="EJ9:EJ12">
    <cfRule type="expression" dxfId="1489" priority="1916">
      <formula>IF(LEN(EJ9)&gt;0,1,0)</formula>
    </cfRule>
    <cfRule type="expression" dxfId="1488" priority="1917">
      <formula>IF(VLOOKUP($EJ$3,requiredAttributePTDMap,MATCH($A9,attributeMapFeedProductType,0)+1,FALSE)&gt;0,1,0)</formula>
    </cfRule>
    <cfRule type="expression" dxfId="1487" priority="1918">
      <formula>IF(VLOOKUP($EJ$3,optionalAttributePTDMap,MATCH($A9,attributeMapFeedProductType,0)+1,FALSE)&gt;0,1,0)</formula>
    </cfRule>
    <cfRule type="expression" dxfId="1486" priority="1919">
      <formula>IF(VLOOKUP($EJ$3,preferredAttributePTDMap,MATCH($A9,attributeMapFeedProductType,0)+1,FALSE)&gt;0,1,0)</formula>
    </cfRule>
    <cfRule type="expression" dxfId="1485" priority="1920">
      <formula>AND(IF(IFERROR(VLOOKUP($EJ$3,requiredAttributePTDMap,MATCH($A9,attributeMapFeedProductType,0)+1,FALSE),0)&gt;0,0,1),IF(IFERROR(VLOOKUP($EJ$3,optionalAttributePTDMap,MATCH($A9,attributeMapFeedProductType,0)+1,FALSE),0)&gt;0,0,1),IF(IFERROR(VLOOKUP($EJ$3,preferredAttributePTDMap,MATCH($A9,attributeMapFeedProductType,0)+1,FALSE),0)&gt;0,0,1),IF(IFERROR(MATCH($A9,attributeMapFeedProductType,0),0)&gt;0,1,0))</formula>
    </cfRule>
  </conditionalFormatting>
  <conditionalFormatting sqref="EK9:EK12">
    <cfRule type="expression" dxfId="1484" priority="1921">
      <formula>IF(LEN(EK9)&gt;0,1,0)</formula>
    </cfRule>
    <cfRule type="expression" dxfId="1483" priority="1922">
      <formula>IF(VLOOKUP($EK$3,requiredAttributePTDMap,MATCH($A9,attributeMapFeedProductType,0)+1,FALSE)&gt;0,1,0)</formula>
    </cfRule>
    <cfRule type="expression" dxfId="1482" priority="1923">
      <formula>IF(VLOOKUP($EK$3,optionalAttributePTDMap,MATCH($A9,attributeMapFeedProductType,0)+1,FALSE)&gt;0,1,0)</formula>
    </cfRule>
    <cfRule type="expression" dxfId="1481" priority="1924">
      <formula>IF(VLOOKUP($EK$3,preferredAttributePTDMap,MATCH($A9,attributeMapFeedProductType,0)+1,FALSE)&gt;0,1,0)</formula>
    </cfRule>
    <cfRule type="expression" dxfId="1480" priority="1925">
      <formula>AND(IF(IFERROR(VLOOKUP($EK$3,requiredAttributePTDMap,MATCH($A9,attributeMapFeedProductType,0)+1,FALSE),0)&gt;0,0,1),IF(IFERROR(VLOOKUP($EK$3,optionalAttributePTDMap,MATCH($A9,attributeMapFeedProductType,0)+1,FALSE),0)&gt;0,0,1),IF(IFERROR(VLOOKUP($EK$3,preferredAttributePTDMap,MATCH($A9,attributeMapFeedProductType,0)+1,FALSE),0)&gt;0,0,1),IF(IFERROR(MATCH($A9,attributeMapFeedProductType,0),0)&gt;0,1,0))</formula>
    </cfRule>
  </conditionalFormatting>
  <conditionalFormatting sqref="EL9:EL12">
    <cfRule type="expression" dxfId="1479" priority="1926">
      <formula>IF(LEN(EL9)&gt;0,1,0)</formula>
    </cfRule>
    <cfRule type="expression" dxfId="1478" priority="1927">
      <formula>IF(VLOOKUP($EL$3,requiredAttributePTDMap,MATCH($A9,attributeMapFeedProductType,0)+1,FALSE)&gt;0,1,0)</formula>
    </cfRule>
    <cfRule type="expression" dxfId="1477" priority="1928">
      <formula>IF(VLOOKUP($EL$3,optionalAttributePTDMap,MATCH($A9,attributeMapFeedProductType,0)+1,FALSE)&gt;0,1,0)</formula>
    </cfRule>
    <cfRule type="expression" dxfId="1476" priority="1929">
      <formula>IF(VLOOKUP($EL$3,preferredAttributePTDMap,MATCH($A9,attributeMapFeedProductType,0)+1,FALSE)&gt;0,1,0)</formula>
    </cfRule>
    <cfRule type="expression" dxfId="1475" priority="1930">
      <formula>AND(IF(IFERROR(VLOOKUP($EL$3,requiredAttributePTDMap,MATCH($A9,attributeMapFeedProductType,0)+1,FALSE),0)&gt;0,0,1),IF(IFERROR(VLOOKUP($EL$3,optionalAttributePTDMap,MATCH($A9,attributeMapFeedProductType,0)+1,FALSE),0)&gt;0,0,1),IF(IFERROR(VLOOKUP($EL$3,preferredAttributePTDMap,MATCH($A9,attributeMapFeedProductType,0)+1,FALSE),0)&gt;0,0,1),IF(IFERROR(MATCH($A9,attributeMapFeedProductType,0),0)&gt;0,1,0))</formula>
    </cfRule>
  </conditionalFormatting>
  <conditionalFormatting sqref="EM9:EM12">
    <cfRule type="expression" dxfId="1474" priority="1931">
      <formula>IF(LEN(EM9)&gt;0,1,0)</formula>
    </cfRule>
    <cfRule type="expression" dxfId="1473" priority="1932">
      <formula>IF(VLOOKUP($EM$3,requiredAttributePTDMap,MATCH($A9,attributeMapFeedProductType,0)+1,FALSE)&gt;0,1,0)</formula>
    </cfRule>
    <cfRule type="expression" dxfId="1472" priority="1933">
      <formula>IF(VLOOKUP($EM$3,optionalAttributePTDMap,MATCH($A9,attributeMapFeedProductType,0)+1,FALSE)&gt;0,1,0)</formula>
    </cfRule>
    <cfRule type="expression" dxfId="1471" priority="1934">
      <formula>IF(VLOOKUP($EM$3,preferredAttributePTDMap,MATCH($A9,attributeMapFeedProductType,0)+1,FALSE)&gt;0,1,0)</formula>
    </cfRule>
    <cfRule type="expression" dxfId="1470" priority="1935">
      <formula>AND(IF(IFERROR(VLOOKUP($EM$3,requiredAttributePTDMap,MATCH($A9,attributeMapFeedProductType,0)+1,FALSE),0)&gt;0,0,1),IF(IFERROR(VLOOKUP($EM$3,optionalAttributePTDMap,MATCH($A9,attributeMapFeedProductType,0)+1,FALSE),0)&gt;0,0,1),IF(IFERROR(VLOOKUP($EM$3,preferredAttributePTDMap,MATCH($A9,attributeMapFeedProductType,0)+1,FALSE),0)&gt;0,0,1),IF(IFERROR(MATCH($A9,attributeMapFeedProductType,0),0)&gt;0,1,0))</formula>
    </cfRule>
  </conditionalFormatting>
  <conditionalFormatting sqref="EN9:EN12">
    <cfRule type="expression" dxfId="1469" priority="1936">
      <formula>IF(LEN(EN9)&gt;0,1,0)</formula>
    </cfRule>
    <cfRule type="expression" dxfId="1468" priority="1937">
      <formula>IF(VLOOKUP($EN$3,requiredAttributePTDMap,MATCH($A9,attributeMapFeedProductType,0)+1,FALSE)&gt;0,1,0)</formula>
    </cfRule>
    <cfRule type="expression" dxfId="1467" priority="1938">
      <formula>IF(VLOOKUP($EN$3,optionalAttributePTDMap,MATCH($A9,attributeMapFeedProductType,0)+1,FALSE)&gt;0,1,0)</formula>
    </cfRule>
    <cfRule type="expression" dxfId="1466" priority="1939">
      <formula>IF(VLOOKUP($EN$3,preferredAttributePTDMap,MATCH($A9,attributeMapFeedProductType,0)+1,FALSE)&gt;0,1,0)</formula>
    </cfRule>
    <cfRule type="expression" dxfId="1465" priority="1940">
      <formula>AND(IF(IFERROR(VLOOKUP($EN$3,requiredAttributePTDMap,MATCH($A9,attributeMapFeedProductType,0)+1,FALSE),0)&gt;0,0,1),IF(IFERROR(VLOOKUP($EN$3,optionalAttributePTDMap,MATCH($A9,attributeMapFeedProductType,0)+1,FALSE),0)&gt;0,0,1),IF(IFERROR(VLOOKUP($EN$3,preferredAttributePTDMap,MATCH($A9,attributeMapFeedProductType,0)+1,FALSE),0)&gt;0,0,1),IF(IFERROR(MATCH($A9,attributeMapFeedProductType,0),0)&gt;0,1,0))</formula>
    </cfRule>
  </conditionalFormatting>
  <conditionalFormatting sqref="EO9:EO12">
    <cfRule type="expression" dxfId="1464" priority="1941">
      <formula>IF(LEN(EO9)&gt;0,1,0)</formula>
    </cfRule>
    <cfRule type="expression" dxfId="1463" priority="1942">
      <formula>IF(VLOOKUP($EO$3,requiredAttributePTDMap,MATCH($A9,attributeMapFeedProductType,0)+1,FALSE)&gt;0,1,0)</formula>
    </cfRule>
    <cfRule type="expression" dxfId="1462" priority="1943">
      <formula>IF(VLOOKUP($EO$3,optionalAttributePTDMap,MATCH($A9,attributeMapFeedProductType,0)+1,FALSE)&gt;0,1,0)</formula>
    </cfRule>
    <cfRule type="expression" dxfId="1461" priority="1944">
      <formula>IF(VLOOKUP($EO$3,preferredAttributePTDMap,MATCH($A9,attributeMapFeedProductType,0)+1,FALSE)&gt;0,1,0)</formula>
    </cfRule>
    <cfRule type="expression" dxfId="1460" priority="1945">
      <formula>AND(IF(IFERROR(VLOOKUP($EO$3,requiredAttributePTDMap,MATCH($A9,attributeMapFeedProductType,0)+1,FALSE),0)&gt;0,0,1),IF(IFERROR(VLOOKUP($EO$3,optionalAttributePTDMap,MATCH($A9,attributeMapFeedProductType,0)+1,FALSE),0)&gt;0,0,1),IF(IFERROR(VLOOKUP($EO$3,preferredAttributePTDMap,MATCH($A9,attributeMapFeedProductType,0)+1,FALSE),0)&gt;0,0,1),IF(IFERROR(MATCH($A9,attributeMapFeedProductType,0),0)&gt;0,1,0))</formula>
    </cfRule>
  </conditionalFormatting>
  <conditionalFormatting sqref="EP9:EP12">
    <cfRule type="expression" dxfId="1459" priority="1946">
      <formula>IF(LEN(EP9)&gt;0,1,0)</formula>
    </cfRule>
    <cfRule type="expression" dxfId="1458" priority="1947">
      <formula>IF(VLOOKUP($EP$3,requiredAttributePTDMap,MATCH($A9,attributeMapFeedProductType,0)+1,FALSE)&gt;0,1,0)</formula>
    </cfRule>
    <cfRule type="expression" dxfId="1457" priority="1948">
      <formula>IF(VLOOKUP($EP$3,optionalAttributePTDMap,MATCH($A9,attributeMapFeedProductType,0)+1,FALSE)&gt;0,1,0)</formula>
    </cfRule>
    <cfRule type="expression" dxfId="1456" priority="1949">
      <formula>IF(VLOOKUP($EP$3,preferredAttributePTDMap,MATCH($A9,attributeMapFeedProductType,0)+1,FALSE)&gt;0,1,0)</formula>
    </cfRule>
    <cfRule type="expression" dxfId="1455" priority="1950">
      <formula>AND(IF(IFERROR(VLOOKUP($EP$3,requiredAttributePTDMap,MATCH($A9,attributeMapFeedProductType,0)+1,FALSE),0)&gt;0,0,1),IF(IFERROR(VLOOKUP($EP$3,optionalAttributePTDMap,MATCH($A9,attributeMapFeedProductType,0)+1,FALSE),0)&gt;0,0,1),IF(IFERROR(VLOOKUP($EP$3,preferredAttributePTDMap,MATCH($A9,attributeMapFeedProductType,0)+1,FALSE),0)&gt;0,0,1),IF(IFERROR(MATCH($A9,attributeMapFeedProductType,0),0)&gt;0,1,0))</formula>
    </cfRule>
  </conditionalFormatting>
  <conditionalFormatting sqref="EQ9:EQ12">
    <cfRule type="expression" dxfId="1454" priority="1951">
      <formula>IF(LEN(EQ9)&gt;0,1,0)</formula>
    </cfRule>
    <cfRule type="expression" dxfId="1453" priority="1952">
      <formula>IF(VLOOKUP($EQ$3,requiredAttributePTDMap,MATCH($A9,attributeMapFeedProductType,0)+1,FALSE)&gt;0,1,0)</formula>
    </cfRule>
    <cfRule type="expression" dxfId="1452" priority="1953">
      <formula>IF(VLOOKUP($EQ$3,optionalAttributePTDMap,MATCH($A9,attributeMapFeedProductType,0)+1,FALSE)&gt;0,1,0)</formula>
    </cfRule>
    <cfRule type="expression" dxfId="1451" priority="1954">
      <formula>IF(VLOOKUP($EQ$3,preferredAttributePTDMap,MATCH($A9,attributeMapFeedProductType,0)+1,FALSE)&gt;0,1,0)</formula>
    </cfRule>
    <cfRule type="expression" dxfId="1450" priority="1955">
      <formula>AND(IF(IFERROR(VLOOKUP($EQ$3,requiredAttributePTDMap,MATCH($A9,attributeMapFeedProductType,0)+1,FALSE),0)&gt;0,0,1),IF(IFERROR(VLOOKUP($EQ$3,optionalAttributePTDMap,MATCH($A9,attributeMapFeedProductType,0)+1,FALSE),0)&gt;0,0,1),IF(IFERROR(VLOOKUP($EQ$3,preferredAttributePTDMap,MATCH($A9,attributeMapFeedProductType,0)+1,FALSE),0)&gt;0,0,1),IF(IFERROR(MATCH($A9,attributeMapFeedProductType,0),0)&gt;0,1,0))</formula>
    </cfRule>
  </conditionalFormatting>
  <conditionalFormatting sqref="ER9:ER12">
    <cfRule type="expression" dxfId="1449" priority="1956">
      <formula>IF(LEN(ER9)&gt;0,1,0)</formula>
    </cfRule>
    <cfRule type="expression" dxfId="1448" priority="1957">
      <formula>IF(VLOOKUP($ER$3,requiredAttributePTDMap,MATCH($A9,attributeMapFeedProductType,0)+1,FALSE)&gt;0,1,0)</formula>
    </cfRule>
    <cfRule type="expression" dxfId="1447" priority="1958">
      <formula>IF(VLOOKUP($ER$3,optionalAttributePTDMap,MATCH($A9,attributeMapFeedProductType,0)+1,FALSE)&gt;0,1,0)</formula>
    </cfRule>
    <cfRule type="expression" dxfId="1446" priority="1959">
      <formula>IF(VLOOKUP($ER$3,preferredAttributePTDMap,MATCH($A9,attributeMapFeedProductType,0)+1,FALSE)&gt;0,1,0)</formula>
    </cfRule>
    <cfRule type="expression" dxfId="1445" priority="1960">
      <formula>AND(IF(IFERROR(VLOOKUP($ER$3,requiredAttributePTDMap,MATCH($A9,attributeMapFeedProductType,0)+1,FALSE),0)&gt;0,0,1),IF(IFERROR(VLOOKUP($ER$3,optionalAttributePTDMap,MATCH($A9,attributeMapFeedProductType,0)+1,FALSE),0)&gt;0,0,1),IF(IFERROR(VLOOKUP($ER$3,preferredAttributePTDMap,MATCH($A9,attributeMapFeedProductType,0)+1,FALSE),0)&gt;0,0,1),IF(IFERROR(MATCH($A9,attributeMapFeedProductType,0),0)&gt;0,1,0))</formula>
    </cfRule>
  </conditionalFormatting>
  <conditionalFormatting sqref="ES9:ES12">
    <cfRule type="expression" dxfId="1444" priority="1961">
      <formula>IF(LEN(ES9)&gt;0,1,0)</formula>
    </cfRule>
    <cfRule type="expression" dxfId="1443" priority="1962">
      <formula>IF(VLOOKUP($ES$3,requiredAttributePTDMap,MATCH($A9,attributeMapFeedProductType,0)+1,FALSE)&gt;0,1,0)</formula>
    </cfRule>
    <cfRule type="expression" dxfId="1442" priority="1963">
      <formula>IF(VLOOKUP($ES$3,optionalAttributePTDMap,MATCH($A9,attributeMapFeedProductType,0)+1,FALSE)&gt;0,1,0)</formula>
    </cfRule>
    <cfRule type="expression" dxfId="1441" priority="1964">
      <formula>IF(VLOOKUP($ES$3,preferredAttributePTDMap,MATCH($A9,attributeMapFeedProductType,0)+1,FALSE)&gt;0,1,0)</formula>
    </cfRule>
    <cfRule type="expression" dxfId="1440" priority="1965">
      <formula>AND(IF(IFERROR(VLOOKUP($ES$3,requiredAttributePTDMap,MATCH($A9,attributeMapFeedProductType,0)+1,FALSE),0)&gt;0,0,1),IF(IFERROR(VLOOKUP($ES$3,optionalAttributePTDMap,MATCH($A9,attributeMapFeedProductType,0)+1,FALSE),0)&gt;0,0,1),IF(IFERROR(VLOOKUP($ES$3,preferredAttributePTDMap,MATCH($A9,attributeMapFeedProductType,0)+1,FALSE),0)&gt;0,0,1),IF(IFERROR(MATCH($A9,attributeMapFeedProductType,0),0)&gt;0,1,0))</formula>
    </cfRule>
  </conditionalFormatting>
  <conditionalFormatting sqref="ET9:ET12">
    <cfRule type="expression" dxfId="1439" priority="1966">
      <formula>IF(LEN(ET9)&gt;0,1,0)</formula>
    </cfRule>
    <cfRule type="expression" dxfId="1438" priority="1967">
      <formula>IF(VLOOKUP($ET$3,requiredAttributePTDMap,MATCH($A9,attributeMapFeedProductType,0)+1,FALSE)&gt;0,1,0)</formula>
    </cfRule>
    <cfRule type="expression" dxfId="1437" priority="1968">
      <formula>IF(VLOOKUP($ET$3,optionalAttributePTDMap,MATCH($A9,attributeMapFeedProductType,0)+1,FALSE)&gt;0,1,0)</formula>
    </cfRule>
    <cfRule type="expression" dxfId="1436" priority="1969">
      <formula>IF(VLOOKUP($ET$3,preferredAttributePTDMap,MATCH($A9,attributeMapFeedProductType,0)+1,FALSE)&gt;0,1,0)</formula>
    </cfRule>
    <cfRule type="expression" dxfId="1435" priority="1970">
      <formula>AND(IF(IFERROR(VLOOKUP($ET$3,requiredAttributePTDMap,MATCH($A9,attributeMapFeedProductType,0)+1,FALSE),0)&gt;0,0,1),IF(IFERROR(VLOOKUP($ET$3,optionalAttributePTDMap,MATCH($A9,attributeMapFeedProductType,0)+1,FALSE),0)&gt;0,0,1),IF(IFERROR(VLOOKUP($ET$3,preferredAttributePTDMap,MATCH($A9,attributeMapFeedProductType,0)+1,FALSE),0)&gt;0,0,1),IF(IFERROR(MATCH($A9,attributeMapFeedProductType,0),0)&gt;0,1,0))</formula>
    </cfRule>
  </conditionalFormatting>
  <conditionalFormatting sqref="EU9:EU12">
    <cfRule type="expression" dxfId="1434" priority="1971">
      <formula>IF(LEN(EU9)&gt;0,1,0)</formula>
    </cfRule>
    <cfRule type="expression" dxfId="1433" priority="1972">
      <formula>IF(VLOOKUP($EU$3,requiredAttributePTDMap,MATCH($A9,attributeMapFeedProductType,0)+1,FALSE)&gt;0,1,0)</formula>
    </cfRule>
    <cfRule type="expression" dxfId="1432" priority="1973">
      <formula>IF(VLOOKUP($EU$3,optionalAttributePTDMap,MATCH($A9,attributeMapFeedProductType,0)+1,FALSE)&gt;0,1,0)</formula>
    </cfRule>
    <cfRule type="expression" dxfId="1431" priority="1974">
      <formula>IF(VLOOKUP($EU$3,preferredAttributePTDMap,MATCH($A9,attributeMapFeedProductType,0)+1,FALSE)&gt;0,1,0)</formula>
    </cfRule>
    <cfRule type="expression" dxfId="1430" priority="1975">
      <formula>AND(IF(IFERROR(VLOOKUP($EU$3,requiredAttributePTDMap,MATCH($A9,attributeMapFeedProductType,0)+1,FALSE),0)&gt;0,0,1),IF(IFERROR(VLOOKUP($EU$3,optionalAttributePTDMap,MATCH($A9,attributeMapFeedProductType,0)+1,FALSE),0)&gt;0,0,1),IF(IFERROR(VLOOKUP($EU$3,preferredAttributePTDMap,MATCH($A9,attributeMapFeedProductType,0)+1,FALSE),0)&gt;0,0,1),IF(IFERROR(MATCH($A9,attributeMapFeedProductType,0),0)&gt;0,1,0))</formula>
    </cfRule>
  </conditionalFormatting>
  <conditionalFormatting sqref="EV9:EV12">
    <cfRule type="expression" dxfId="1429" priority="1976">
      <formula>IF(LEN(EV9)&gt;0,1,0)</formula>
    </cfRule>
    <cfRule type="expression" dxfId="1428" priority="1977">
      <formula>IF(VLOOKUP($EV$3,requiredAttributePTDMap,MATCH($A9,attributeMapFeedProductType,0)+1,FALSE)&gt;0,1,0)</formula>
    </cfRule>
    <cfRule type="expression" dxfId="1427" priority="1978">
      <formula>IF(VLOOKUP($EV$3,optionalAttributePTDMap,MATCH($A9,attributeMapFeedProductType,0)+1,FALSE)&gt;0,1,0)</formula>
    </cfRule>
    <cfRule type="expression" dxfId="1426" priority="1979">
      <formula>IF(VLOOKUP($EV$3,preferredAttributePTDMap,MATCH($A9,attributeMapFeedProductType,0)+1,FALSE)&gt;0,1,0)</formula>
    </cfRule>
    <cfRule type="expression" dxfId="1425" priority="1980">
      <formula>AND(IF(IFERROR(VLOOKUP($EV$3,requiredAttributePTDMap,MATCH($A9,attributeMapFeedProductType,0)+1,FALSE),0)&gt;0,0,1),IF(IFERROR(VLOOKUP($EV$3,optionalAttributePTDMap,MATCH($A9,attributeMapFeedProductType,0)+1,FALSE),0)&gt;0,0,1),IF(IFERROR(VLOOKUP($EV$3,preferredAttributePTDMap,MATCH($A9,attributeMapFeedProductType,0)+1,FALSE),0)&gt;0,0,1),IF(IFERROR(MATCH($A9,attributeMapFeedProductType,0),0)&gt;0,1,0))</formula>
    </cfRule>
  </conditionalFormatting>
  <conditionalFormatting sqref="EW9:EW12">
    <cfRule type="expression" dxfId="1424" priority="1981">
      <formula>IF(LEN(EW9)&gt;0,1,0)</formula>
    </cfRule>
    <cfRule type="expression" dxfId="1423" priority="1982">
      <formula>IF(VLOOKUP($EW$3,requiredAttributePTDMap,MATCH($A9,attributeMapFeedProductType,0)+1,FALSE)&gt;0,1,0)</formula>
    </cfRule>
    <cfRule type="expression" dxfId="1422" priority="1983">
      <formula>IF(VLOOKUP($EW$3,optionalAttributePTDMap,MATCH($A9,attributeMapFeedProductType,0)+1,FALSE)&gt;0,1,0)</formula>
    </cfRule>
    <cfRule type="expression" dxfId="1421" priority="1984">
      <formula>IF(VLOOKUP($EW$3,preferredAttributePTDMap,MATCH($A9,attributeMapFeedProductType,0)+1,FALSE)&gt;0,1,0)</formula>
    </cfRule>
    <cfRule type="expression" dxfId="1420" priority="1985">
      <formula>AND(IF(IFERROR(VLOOKUP($EW$3,requiredAttributePTDMap,MATCH($A9,attributeMapFeedProductType,0)+1,FALSE),0)&gt;0,0,1),IF(IFERROR(VLOOKUP($EW$3,optionalAttributePTDMap,MATCH($A9,attributeMapFeedProductType,0)+1,FALSE),0)&gt;0,0,1),IF(IFERROR(VLOOKUP($EW$3,preferredAttributePTDMap,MATCH($A9,attributeMapFeedProductType,0)+1,FALSE),0)&gt;0,0,1),IF(IFERROR(MATCH($A9,attributeMapFeedProductType,0),0)&gt;0,1,0))</formula>
    </cfRule>
  </conditionalFormatting>
  <conditionalFormatting sqref="EX9:EX12">
    <cfRule type="expression" dxfId="1419" priority="1986">
      <formula>IF(LEN(EX9)&gt;0,1,0)</formula>
    </cfRule>
    <cfRule type="expression" dxfId="1418" priority="1987">
      <formula>IF(VLOOKUP($EX$3,requiredAttributePTDMap,MATCH($A9,attributeMapFeedProductType,0)+1,FALSE)&gt;0,1,0)</formula>
    </cfRule>
    <cfRule type="expression" dxfId="1417" priority="1988">
      <formula>IF(VLOOKUP($EX$3,optionalAttributePTDMap,MATCH($A9,attributeMapFeedProductType,0)+1,FALSE)&gt;0,1,0)</formula>
    </cfRule>
    <cfRule type="expression" dxfId="1416" priority="1989">
      <formula>IF(VLOOKUP($EX$3,preferredAttributePTDMap,MATCH($A9,attributeMapFeedProductType,0)+1,FALSE)&gt;0,1,0)</formula>
    </cfRule>
    <cfRule type="expression" dxfId="1415" priority="1990">
      <formula>AND(IF(IFERROR(VLOOKUP($EX$3,requiredAttributePTDMap,MATCH($A9,attributeMapFeedProductType,0)+1,FALSE),0)&gt;0,0,1),IF(IFERROR(VLOOKUP($EX$3,optionalAttributePTDMap,MATCH($A9,attributeMapFeedProductType,0)+1,FALSE),0)&gt;0,0,1),IF(IFERROR(VLOOKUP($EX$3,preferredAttributePTDMap,MATCH($A9,attributeMapFeedProductType,0)+1,FALSE),0)&gt;0,0,1),IF(IFERROR(MATCH($A9,attributeMapFeedProductType,0),0)&gt;0,1,0))</formula>
    </cfRule>
  </conditionalFormatting>
  <conditionalFormatting sqref="EY9:EY12">
    <cfRule type="expression" dxfId="1414" priority="1991">
      <formula>IF(LEN(EY9)&gt;0,1,0)</formula>
    </cfRule>
    <cfRule type="expression" dxfId="1413" priority="1992">
      <formula>IF(VLOOKUP($EY$3,requiredAttributePTDMap,MATCH($A9,attributeMapFeedProductType,0)+1,FALSE)&gt;0,1,0)</formula>
    </cfRule>
    <cfRule type="expression" dxfId="1412" priority="1993">
      <formula>IF(VLOOKUP($EY$3,optionalAttributePTDMap,MATCH($A9,attributeMapFeedProductType,0)+1,FALSE)&gt;0,1,0)</formula>
    </cfRule>
    <cfRule type="expression" dxfId="1411" priority="1994">
      <formula>IF(VLOOKUP($EY$3,preferredAttributePTDMap,MATCH($A9,attributeMapFeedProductType,0)+1,FALSE)&gt;0,1,0)</formula>
    </cfRule>
    <cfRule type="expression" dxfId="1410" priority="1995">
      <formula>AND(IF(IFERROR(VLOOKUP($EY$3,requiredAttributePTDMap,MATCH($A9,attributeMapFeedProductType,0)+1,FALSE),0)&gt;0,0,1),IF(IFERROR(VLOOKUP($EY$3,optionalAttributePTDMap,MATCH($A9,attributeMapFeedProductType,0)+1,FALSE),0)&gt;0,0,1),IF(IFERROR(VLOOKUP($EY$3,preferredAttributePTDMap,MATCH($A9,attributeMapFeedProductType,0)+1,FALSE),0)&gt;0,0,1),IF(IFERROR(MATCH($A9,attributeMapFeedProductType,0),0)&gt;0,1,0))</formula>
    </cfRule>
  </conditionalFormatting>
  <conditionalFormatting sqref="EZ9:EZ12">
    <cfRule type="expression" dxfId="1409" priority="1996">
      <formula>IF(LEN(EZ9)&gt;0,1,0)</formula>
    </cfRule>
    <cfRule type="expression" dxfId="1408" priority="1997">
      <formula>IF(VLOOKUP($EZ$3,requiredAttributePTDMap,MATCH($A9,attributeMapFeedProductType,0)+1,FALSE)&gt;0,1,0)</formula>
    </cfRule>
    <cfRule type="expression" dxfId="1407" priority="1998">
      <formula>IF(VLOOKUP($EZ$3,optionalAttributePTDMap,MATCH($A9,attributeMapFeedProductType,0)+1,FALSE)&gt;0,1,0)</formula>
    </cfRule>
    <cfRule type="expression" dxfId="1406" priority="1999">
      <formula>IF(VLOOKUP($EZ$3,preferredAttributePTDMap,MATCH($A9,attributeMapFeedProductType,0)+1,FALSE)&gt;0,1,0)</formula>
    </cfRule>
    <cfRule type="expression" dxfId="1405" priority="2000">
      <formula>AND(IF(IFERROR(VLOOKUP($EZ$3,requiredAttributePTDMap,MATCH($A9,attributeMapFeedProductType,0)+1,FALSE),0)&gt;0,0,1),IF(IFERROR(VLOOKUP($EZ$3,optionalAttributePTDMap,MATCH($A9,attributeMapFeedProductType,0)+1,FALSE),0)&gt;0,0,1),IF(IFERROR(VLOOKUP($EZ$3,preferredAttributePTDMap,MATCH($A9,attributeMapFeedProductType,0)+1,FALSE),0)&gt;0,0,1),IF(IFERROR(MATCH($A9,attributeMapFeedProductType,0),0)&gt;0,1,0))</formula>
    </cfRule>
  </conditionalFormatting>
  <conditionalFormatting sqref="FA9:FA12">
    <cfRule type="expression" dxfId="1404" priority="2001">
      <formula>IF(LEN(FA9)&gt;0,1,0)</formula>
    </cfRule>
    <cfRule type="expression" dxfId="1403" priority="2002">
      <formula>IF(VLOOKUP($FA$3,requiredAttributePTDMap,MATCH($A9,attributeMapFeedProductType,0)+1,FALSE)&gt;0,1,0)</formula>
    </cfRule>
    <cfRule type="expression" dxfId="1402" priority="2003">
      <formula>IF(VLOOKUP($FA$3,optionalAttributePTDMap,MATCH($A9,attributeMapFeedProductType,0)+1,FALSE)&gt;0,1,0)</formula>
    </cfRule>
    <cfRule type="expression" dxfId="1401" priority="2004">
      <formula>IF(VLOOKUP($FA$3,preferredAttributePTDMap,MATCH($A9,attributeMapFeedProductType,0)+1,FALSE)&gt;0,1,0)</formula>
    </cfRule>
    <cfRule type="expression" dxfId="1400" priority="2005">
      <formula>AND(IF(IFERROR(VLOOKUP($FA$3,requiredAttributePTDMap,MATCH($A9,attributeMapFeedProductType,0)+1,FALSE),0)&gt;0,0,1),IF(IFERROR(VLOOKUP($FA$3,optionalAttributePTDMap,MATCH($A9,attributeMapFeedProductType,0)+1,FALSE),0)&gt;0,0,1),IF(IFERROR(VLOOKUP($FA$3,preferredAttributePTDMap,MATCH($A9,attributeMapFeedProductType,0)+1,FALSE),0)&gt;0,0,1),IF(IFERROR(MATCH($A9,attributeMapFeedProductType,0),0)&gt;0,1,0))</formula>
    </cfRule>
  </conditionalFormatting>
  <conditionalFormatting sqref="FB9:FB12">
    <cfRule type="expression" dxfId="1399" priority="2006">
      <formula>IF(LEN(FB9)&gt;0,1,0)</formula>
    </cfRule>
    <cfRule type="expression" dxfId="1398" priority="2007">
      <formula>IF(VLOOKUP($FB$3,requiredAttributePTDMap,MATCH($A9,attributeMapFeedProductType,0)+1,FALSE)&gt;0,1,0)</formula>
    </cfRule>
    <cfRule type="expression" dxfId="1397" priority="2008">
      <formula>IF(VLOOKUP($FB$3,optionalAttributePTDMap,MATCH($A9,attributeMapFeedProductType,0)+1,FALSE)&gt;0,1,0)</formula>
    </cfRule>
    <cfRule type="expression" dxfId="1396" priority="2009">
      <formula>IF(VLOOKUP($FB$3,preferredAttributePTDMap,MATCH($A9,attributeMapFeedProductType,0)+1,FALSE)&gt;0,1,0)</formula>
    </cfRule>
    <cfRule type="expression" dxfId="1395" priority="2010">
      <formula>AND(IF(IFERROR(VLOOKUP($FB$3,requiredAttributePTDMap,MATCH($A9,attributeMapFeedProductType,0)+1,FALSE),0)&gt;0,0,1),IF(IFERROR(VLOOKUP($FB$3,optionalAttributePTDMap,MATCH($A9,attributeMapFeedProductType,0)+1,FALSE),0)&gt;0,0,1),IF(IFERROR(VLOOKUP($FB$3,preferredAttributePTDMap,MATCH($A9,attributeMapFeedProductType,0)+1,FALSE),0)&gt;0,0,1),IF(IFERROR(MATCH($A9,attributeMapFeedProductType,0),0)&gt;0,1,0))</formula>
    </cfRule>
  </conditionalFormatting>
  <conditionalFormatting sqref="FC9:FC12">
    <cfRule type="expression" dxfId="1394" priority="2011">
      <formula>IF(LEN(FC9)&gt;0,1,0)</formula>
    </cfRule>
    <cfRule type="expression" dxfId="1393" priority="2012">
      <formula>IF(VLOOKUP($FC$3,requiredAttributePTDMap,MATCH($A9,attributeMapFeedProductType,0)+1,FALSE)&gt;0,1,0)</formula>
    </cfRule>
    <cfRule type="expression" dxfId="1392" priority="2013">
      <formula>IF(VLOOKUP($FC$3,optionalAttributePTDMap,MATCH($A9,attributeMapFeedProductType,0)+1,FALSE)&gt;0,1,0)</formula>
    </cfRule>
    <cfRule type="expression" dxfId="1391" priority="2014">
      <formula>IF(VLOOKUP($FC$3,preferredAttributePTDMap,MATCH($A9,attributeMapFeedProductType,0)+1,FALSE)&gt;0,1,0)</formula>
    </cfRule>
    <cfRule type="expression" dxfId="1390" priority="2015">
      <formula>AND(IF(IFERROR(VLOOKUP($FC$3,requiredAttributePTDMap,MATCH($A9,attributeMapFeedProductType,0)+1,FALSE),0)&gt;0,0,1),IF(IFERROR(VLOOKUP($FC$3,optionalAttributePTDMap,MATCH($A9,attributeMapFeedProductType,0)+1,FALSE),0)&gt;0,0,1),IF(IFERROR(VLOOKUP($FC$3,preferredAttributePTDMap,MATCH($A9,attributeMapFeedProductType,0)+1,FALSE),0)&gt;0,0,1),IF(IFERROR(MATCH($A9,attributeMapFeedProductType,0),0)&gt;0,1,0))</formula>
    </cfRule>
  </conditionalFormatting>
  <conditionalFormatting sqref="FD9:FD12">
    <cfRule type="expression" dxfId="1389" priority="2016">
      <formula>IF(LEN(FD9)&gt;0,1,0)</formula>
    </cfRule>
    <cfRule type="expression" dxfId="1388" priority="2017">
      <formula>IF(VLOOKUP($FD$3,requiredAttributePTDMap,MATCH($A9,attributeMapFeedProductType,0)+1,FALSE)&gt;0,1,0)</formula>
    </cfRule>
    <cfRule type="expression" dxfId="1387" priority="2018">
      <formula>IF(VLOOKUP($FD$3,optionalAttributePTDMap,MATCH($A9,attributeMapFeedProductType,0)+1,FALSE)&gt;0,1,0)</formula>
    </cfRule>
    <cfRule type="expression" dxfId="1386" priority="2019">
      <formula>IF(VLOOKUP($FD$3,preferredAttributePTDMap,MATCH($A9,attributeMapFeedProductType,0)+1,FALSE)&gt;0,1,0)</formula>
    </cfRule>
    <cfRule type="expression" dxfId="1385" priority="2020">
      <formula>AND(IF(IFERROR(VLOOKUP($FD$3,requiredAttributePTDMap,MATCH($A9,attributeMapFeedProductType,0)+1,FALSE),0)&gt;0,0,1),IF(IFERROR(VLOOKUP($FD$3,optionalAttributePTDMap,MATCH($A9,attributeMapFeedProductType,0)+1,FALSE),0)&gt;0,0,1),IF(IFERROR(VLOOKUP($FD$3,preferredAttributePTDMap,MATCH($A9,attributeMapFeedProductType,0)+1,FALSE),0)&gt;0,0,1),IF(IFERROR(MATCH($A9,attributeMapFeedProductType,0),0)&gt;0,1,0))</formula>
    </cfRule>
  </conditionalFormatting>
  <conditionalFormatting sqref="FE9:FE12">
    <cfRule type="expression" dxfId="1384" priority="2021">
      <formula>IF(LEN(FE9)&gt;0,1,0)</formula>
    </cfRule>
    <cfRule type="expression" dxfId="1383" priority="2022">
      <formula>IF(VLOOKUP($FE$3,requiredAttributePTDMap,MATCH($A9,attributeMapFeedProductType,0)+1,FALSE)&gt;0,1,0)</formula>
    </cfRule>
    <cfRule type="expression" dxfId="1382" priority="2023">
      <formula>IF(VLOOKUP($FE$3,optionalAttributePTDMap,MATCH($A9,attributeMapFeedProductType,0)+1,FALSE)&gt;0,1,0)</formula>
    </cfRule>
    <cfRule type="expression" dxfId="1381" priority="2024">
      <formula>IF(VLOOKUP($FE$3,preferredAttributePTDMap,MATCH($A9,attributeMapFeedProductType,0)+1,FALSE)&gt;0,1,0)</formula>
    </cfRule>
    <cfRule type="expression" dxfId="1380" priority="2025">
      <formula>AND(IF(IFERROR(VLOOKUP($FE$3,requiredAttributePTDMap,MATCH($A9,attributeMapFeedProductType,0)+1,FALSE),0)&gt;0,0,1),IF(IFERROR(VLOOKUP($FE$3,optionalAttributePTDMap,MATCH($A9,attributeMapFeedProductType,0)+1,FALSE),0)&gt;0,0,1),IF(IFERROR(VLOOKUP($FE$3,preferredAttributePTDMap,MATCH($A9,attributeMapFeedProductType,0)+1,FALSE),0)&gt;0,0,1),IF(IFERROR(MATCH($A9,attributeMapFeedProductType,0),0)&gt;0,1,0))</formula>
    </cfRule>
  </conditionalFormatting>
  <conditionalFormatting sqref="FF9:FF12">
    <cfRule type="expression" dxfId="1379" priority="2026">
      <formula>IF(LEN(FF9)&gt;0,1,0)</formula>
    </cfRule>
    <cfRule type="expression" dxfId="1378" priority="2027">
      <formula>IF(VLOOKUP($FF$3,requiredAttributePTDMap,MATCH($A9,attributeMapFeedProductType,0)+1,FALSE)&gt;0,1,0)</formula>
    </cfRule>
    <cfRule type="expression" dxfId="1377" priority="2028">
      <formula>IF(VLOOKUP($FF$3,optionalAttributePTDMap,MATCH($A9,attributeMapFeedProductType,0)+1,FALSE)&gt;0,1,0)</formula>
    </cfRule>
    <cfRule type="expression" dxfId="1376" priority="2029">
      <formula>IF(VLOOKUP($FF$3,preferredAttributePTDMap,MATCH($A9,attributeMapFeedProductType,0)+1,FALSE)&gt;0,1,0)</formula>
    </cfRule>
    <cfRule type="expression" dxfId="1375" priority="2030">
      <formula>AND(IF(IFERROR(VLOOKUP($FF$3,requiredAttributePTDMap,MATCH($A9,attributeMapFeedProductType,0)+1,FALSE),0)&gt;0,0,1),IF(IFERROR(VLOOKUP($FF$3,optionalAttributePTDMap,MATCH($A9,attributeMapFeedProductType,0)+1,FALSE),0)&gt;0,0,1),IF(IFERROR(VLOOKUP($FF$3,preferredAttributePTDMap,MATCH($A9,attributeMapFeedProductType,0)+1,FALSE),0)&gt;0,0,1),IF(IFERROR(MATCH($A9,attributeMapFeedProductType,0),0)&gt;0,1,0))</formula>
    </cfRule>
  </conditionalFormatting>
  <conditionalFormatting sqref="FG9:FG12">
    <cfRule type="expression" dxfId="1374" priority="2031">
      <formula>IF(LEN(FG9)&gt;0,1,0)</formula>
    </cfRule>
    <cfRule type="expression" dxfId="1373" priority="2032">
      <formula>IF(VLOOKUP($FG$3,requiredAttributePTDMap,MATCH($A9,attributeMapFeedProductType,0)+1,FALSE)&gt;0,1,0)</formula>
    </cfRule>
    <cfRule type="expression" dxfId="1372" priority="2033">
      <formula>IF(VLOOKUP($FG$3,optionalAttributePTDMap,MATCH($A9,attributeMapFeedProductType,0)+1,FALSE)&gt;0,1,0)</formula>
    </cfRule>
    <cfRule type="expression" dxfId="1371" priority="2034">
      <formula>IF(VLOOKUP($FG$3,preferredAttributePTDMap,MATCH($A9,attributeMapFeedProductType,0)+1,FALSE)&gt;0,1,0)</formula>
    </cfRule>
    <cfRule type="expression" dxfId="1370" priority="2035">
      <formula>AND(IF(IFERROR(VLOOKUP($FG$3,requiredAttributePTDMap,MATCH($A9,attributeMapFeedProductType,0)+1,FALSE),0)&gt;0,0,1),IF(IFERROR(VLOOKUP($FG$3,optionalAttributePTDMap,MATCH($A9,attributeMapFeedProductType,0)+1,FALSE),0)&gt;0,0,1),IF(IFERROR(VLOOKUP($FG$3,preferredAttributePTDMap,MATCH($A9,attributeMapFeedProductType,0)+1,FALSE),0)&gt;0,0,1),IF(IFERROR(MATCH($A9,attributeMapFeedProductType,0),0)&gt;0,1,0))</formula>
    </cfRule>
  </conditionalFormatting>
  <conditionalFormatting sqref="FH9:FH12">
    <cfRule type="expression" dxfId="1369" priority="2036">
      <formula>IF(LEN(FH9)&gt;0,1,0)</formula>
    </cfRule>
    <cfRule type="expression" dxfId="1368" priority="2037">
      <formula>IF(VLOOKUP($FH$3,requiredAttributePTDMap,MATCH($A9,attributeMapFeedProductType,0)+1,FALSE)&gt;0,1,0)</formula>
    </cfRule>
    <cfRule type="expression" dxfId="1367" priority="2038">
      <formula>IF(VLOOKUP($FH$3,optionalAttributePTDMap,MATCH($A9,attributeMapFeedProductType,0)+1,FALSE)&gt;0,1,0)</formula>
    </cfRule>
    <cfRule type="expression" dxfId="1366" priority="2039">
      <formula>IF(VLOOKUP($FH$3,preferredAttributePTDMap,MATCH($A9,attributeMapFeedProductType,0)+1,FALSE)&gt;0,1,0)</formula>
    </cfRule>
    <cfRule type="expression" dxfId="1365" priority="2040">
      <formula>AND(IF(IFERROR(VLOOKUP($FH$3,requiredAttributePTDMap,MATCH($A9,attributeMapFeedProductType,0)+1,FALSE),0)&gt;0,0,1),IF(IFERROR(VLOOKUP($FH$3,optionalAttributePTDMap,MATCH($A9,attributeMapFeedProductType,0)+1,FALSE),0)&gt;0,0,1),IF(IFERROR(VLOOKUP($FH$3,preferredAttributePTDMap,MATCH($A9,attributeMapFeedProductType,0)+1,FALSE),0)&gt;0,0,1),IF(IFERROR(MATCH($A9,attributeMapFeedProductType,0),0)&gt;0,1,0))</formula>
    </cfRule>
  </conditionalFormatting>
  <conditionalFormatting sqref="FI9:FI12">
    <cfRule type="expression" dxfId="1364" priority="2041">
      <formula>IF(LEN(FI9)&gt;0,1,0)</formula>
    </cfRule>
    <cfRule type="expression" dxfId="1363" priority="2042">
      <formula>IF(VLOOKUP($FI$3,requiredAttributePTDMap,MATCH($A9,attributeMapFeedProductType,0)+1,FALSE)&gt;0,1,0)</formula>
    </cfRule>
    <cfRule type="expression" dxfId="1362" priority="2043">
      <formula>IF(VLOOKUP($FI$3,optionalAttributePTDMap,MATCH($A9,attributeMapFeedProductType,0)+1,FALSE)&gt;0,1,0)</formula>
    </cfRule>
    <cfRule type="expression" dxfId="1361" priority="2044">
      <formula>IF(VLOOKUP($FI$3,preferredAttributePTDMap,MATCH($A9,attributeMapFeedProductType,0)+1,FALSE)&gt;0,1,0)</formula>
    </cfRule>
    <cfRule type="expression" dxfId="1360" priority="2045">
      <formula>AND(IF(IFERROR(VLOOKUP($FI$3,requiredAttributePTDMap,MATCH($A9,attributeMapFeedProductType,0)+1,FALSE),0)&gt;0,0,1),IF(IFERROR(VLOOKUP($FI$3,optionalAttributePTDMap,MATCH($A9,attributeMapFeedProductType,0)+1,FALSE),0)&gt;0,0,1),IF(IFERROR(VLOOKUP($FI$3,preferredAttributePTDMap,MATCH($A9,attributeMapFeedProductType,0)+1,FALSE),0)&gt;0,0,1),IF(IFERROR(MATCH($A9,attributeMapFeedProductType,0),0)&gt;0,1,0))</formula>
    </cfRule>
  </conditionalFormatting>
  <conditionalFormatting sqref="FJ9:FJ12">
    <cfRule type="expression" dxfId="1359" priority="2046">
      <formula>IF(LEN(FJ9)&gt;0,1,0)</formula>
    </cfRule>
    <cfRule type="expression" dxfId="1358" priority="2047">
      <formula>AND(A9&lt;&gt;"",OR(OR((FK9&lt;&gt;"")),OR((FL9&lt;&gt;""))))</formula>
    </cfRule>
    <cfRule type="expression" dxfId="1357" priority="2048">
      <formula>IF(VLOOKUP($FJ$3,requiredAttributePTDMap,MATCH($A9,attributeMapFeedProductType,0)+1,FALSE)&gt;0,1,0)</formula>
    </cfRule>
    <cfRule type="expression" dxfId="1356" priority="2049">
      <formula>IF(VLOOKUP($FJ$3,optionalAttributePTDMap,MATCH($A9,attributeMapFeedProductType,0)+1,FALSE)&gt;0,1,0)</formula>
    </cfRule>
    <cfRule type="expression" dxfId="1355" priority="2050">
      <formula>IF(VLOOKUP($FJ$3,preferredAttributePTDMap,MATCH($A9,attributeMapFeedProductType,0)+1,FALSE)&gt;0,1,0)</formula>
    </cfRule>
    <cfRule type="expression" dxfId="1354" priority="2051">
      <formula>AND(IF(IFERROR(VLOOKUP($FJ$3,requiredAttributePTDMap,MATCH($A9,attributeMapFeedProductType,0)+1,FALSE),0)&gt;0,0,1),IF(IFERROR(VLOOKUP($FJ$3,optionalAttributePTDMap,MATCH($A9,attributeMapFeedProductType,0)+1,FALSE),0)&gt;0,0,1),IF(IFERROR(VLOOKUP($FJ$3,preferredAttributePTDMap,MATCH($A9,attributeMapFeedProductType,0)+1,FALSE),0)&gt;0,0,1),IF(IFERROR(MATCH($A9,attributeMapFeedProductType,0),0)&gt;0,1,0))</formula>
    </cfRule>
  </conditionalFormatting>
  <conditionalFormatting sqref="FK9:FK12">
    <cfRule type="expression" dxfId="1353" priority="2052">
      <formula>IF(LEN(FK9)&gt;0,1,0)</formula>
    </cfRule>
    <cfRule type="expression" dxfId="1352" priority="2053">
      <formula>AND(A9&lt;&gt;"",OR(OR((FJ9&lt;&gt;"")),OR((FL9&lt;&gt;""))))</formula>
    </cfRule>
    <cfRule type="expression" dxfId="1351" priority="2054">
      <formula>IF(VLOOKUP($FK$3,requiredAttributePTDMap,MATCH($A9,attributeMapFeedProductType,0)+1,FALSE)&gt;0,1,0)</formula>
    </cfRule>
    <cfRule type="expression" dxfId="1350" priority="2055">
      <formula>IF(VLOOKUP($FK$3,optionalAttributePTDMap,MATCH($A9,attributeMapFeedProductType,0)+1,FALSE)&gt;0,1,0)</formula>
    </cfRule>
    <cfRule type="expression" dxfId="1349" priority="2056">
      <formula>IF(VLOOKUP($FK$3,preferredAttributePTDMap,MATCH($A9,attributeMapFeedProductType,0)+1,FALSE)&gt;0,1,0)</formula>
    </cfRule>
    <cfRule type="expression" dxfId="1348" priority="2057">
      <formula>AND(IF(IFERROR(VLOOKUP($FK$3,requiredAttributePTDMap,MATCH($A9,attributeMapFeedProductType,0)+1,FALSE),0)&gt;0,0,1),IF(IFERROR(VLOOKUP($FK$3,optionalAttributePTDMap,MATCH($A9,attributeMapFeedProductType,0)+1,FALSE),0)&gt;0,0,1),IF(IFERROR(VLOOKUP($FK$3,preferredAttributePTDMap,MATCH($A9,attributeMapFeedProductType,0)+1,FALSE),0)&gt;0,0,1),IF(IFERROR(MATCH($A9,attributeMapFeedProductType,0),0)&gt;0,1,0))</formula>
    </cfRule>
  </conditionalFormatting>
  <conditionalFormatting sqref="FL9:FL12">
    <cfRule type="expression" dxfId="1347" priority="2058">
      <formula>IF(LEN(FL9)&gt;0,1,0)</formula>
    </cfRule>
    <cfRule type="expression" dxfId="1346" priority="2059">
      <formula>AND(A9&lt;&gt;"",OR(OR((FJ9&lt;&gt;"")),OR((FK9&lt;&gt;""))))</formula>
    </cfRule>
    <cfRule type="expression" dxfId="1345" priority="2060">
      <formula>IF(VLOOKUP($FL$3,requiredAttributePTDMap,MATCH($A9,attributeMapFeedProductType,0)+1,FALSE)&gt;0,1,0)</formula>
    </cfRule>
    <cfRule type="expression" dxfId="1344" priority="2061">
      <formula>IF(VLOOKUP($FL$3,optionalAttributePTDMap,MATCH($A9,attributeMapFeedProductType,0)+1,FALSE)&gt;0,1,0)</formula>
    </cfRule>
    <cfRule type="expression" dxfId="1343" priority="2062">
      <formula>IF(VLOOKUP($FL$3,preferredAttributePTDMap,MATCH($A9,attributeMapFeedProductType,0)+1,FALSE)&gt;0,1,0)</formula>
    </cfRule>
    <cfRule type="expression" dxfId="1342" priority="2063">
      <formula>AND(IF(IFERROR(VLOOKUP($FL$3,requiredAttributePTDMap,MATCH($A9,attributeMapFeedProductType,0)+1,FALSE),0)&gt;0,0,1),IF(IFERROR(VLOOKUP($FL$3,optionalAttributePTDMap,MATCH($A9,attributeMapFeedProductType,0)+1,FALSE),0)&gt;0,0,1),IF(IFERROR(VLOOKUP($FL$3,preferredAttributePTDMap,MATCH($A9,attributeMapFeedProductType,0)+1,FALSE),0)&gt;0,0,1),IF(IFERROR(MATCH($A9,attributeMapFeedProductType,0),0)&gt;0,1,0))</formula>
    </cfRule>
  </conditionalFormatting>
  <conditionalFormatting sqref="FM9:FM12">
    <cfRule type="expression" dxfId="1341" priority="2064">
      <formula>AND(AND((0)),1=1)</formula>
    </cfRule>
    <cfRule type="expression" dxfId="1340" priority="2065">
      <formula>IF(LEN(FM9)&gt;0,1,0)</formula>
    </cfRule>
    <cfRule type="expression" dxfId="1339" priority="2066">
      <formula>IF(VLOOKUP($FM$3,requiredAttributePTDMap,MATCH($A9,attributeMapFeedProductType,0)+1,FALSE)&gt;0,1,0)</formula>
    </cfRule>
    <cfRule type="expression" dxfId="1338" priority="2067">
      <formula>IF(VLOOKUP($FM$3,optionalAttributePTDMap,MATCH($A9,attributeMapFeedProductType,0)+1,FALSE)&gt;0,1,0)</formula>
    </cfRule>
    <cfRule type="expression" dxfId="1337" priority="2068">
      <formula>IF(VLOOKUP($FM$3,preferredAttributePTDMap,MATCH($A9,attributeMapFeedProductType,0)+1,FALSE)&gt;0,1,0)</formula>
    </cfRule>
    <cfRule type="expression" dxfId="1336" priority="2069">
      <formula>AND(IF(IFERROR(VLOOKUP($FM$3,requiredAttributePTDMap,MATCH($A9,attributeMapFeedProductType,0)+1,FALSE),0)&gt;0,0,1),IF(IFERROR(VLOOKUP($FM$3,optionalAttributePTDMap,MATCH($A9,attributeMapFeedProductType,0)+1,FALSE),0)&gt;0,0,1),IF(IFERROR(VLOOKUP($FM$3,preferredAttributePTDMap,MATCH($A9,attributeMapFeedProductType,0)+1,FALSE),0)&gt;0,0,1),IF(IFERROR(MATCH($A9,attributeMapFeedProductType,0),0)&gt;0,1,0))</formula>
    </cfRule>
  </conditionalFormatting>
  <conditionalFormatting sqref="FN9:FN12">
    <cfRule type="expression" dxfId="1335" priority="2070">
      <formula>IF(LEN(FN9)&gt;0,1,0)</formula>
    </cfRule>
    <cfRule type="expression" dxfId="1334" priority="2071">
      <formula>IF(VLOOKUP($FN$3,requiredAttributePTDMap,MATCH($A9,attributeMapFeedProductType,0)+1,FALSE)&gt;0,1,0)</formula>
    </cfRule>
    <cfRule type="expression" dxfId="1333" priority="2072">
      <formula>IF(VLOOKUP($FN$3,optionalAttributePTDMap,MATCH($A9,attributeMapFeedProductType,0)+1,FALSE)&gt;0,1,0)</formula>
    </cfRule>
    <cfRule type="expression" dxfId="1332" priority="2073">
      <formula>IF(VLOOKUP($FN$3,preferredAttributePTDMap,MATCH($A9,attributeMapFeedProductType,0)+1,FALSE)&gt;0,1,0)</formula>
    </cfRule>
    <cfRule type="expression" dxfId="1331" priority="2074">
      <formula>AND(IF(IFERROR(VLOOKUP($FN$3,requiredAttributePTDMap,MATCH($A9,attributeMapFeedProductType,0)+1,FALSE),0)&gt;0,0,1),IF(IFERROR(VLOOKUP($FN$3,optionalAttributePTDMap,MATCH($A9,attributeMapFeedProductType,0)+1,FALSE),0)&gt;0,0,1),IF(IFERROR(VLOOKUP($FN$3,preferredAttributePTDMap,MATCH($A9,attributeMapFeedProductType,0)+1,FALSE),0)&gt;0,0,1),IF(IFERROR(MATCH($A9,attributeMapFeedProductType,0),0)&gt;0,1,0))</formula>
    </cfRule>
  </conditionalFormatting>
  <conditionalFormatting sqref="FO9:FO12">
    <cfRule type="expression" dxfId="1330" priority="2075">
      <formula>AND(AND((0)),1=1)</formula>
    </cfRule>
    <cfRule type="expression" dxfId="1329" priority="2076">
      <formula>IF(LEN(FO9)&gt;0,1,0)</formula>
    </cfRule>
    <cfRule type="expression" dxfId="1328" priority="2077">
      <formula>IF(VLOOKUP($FO$3,requiredAttributePTDMap,MATCH($A9,attributeMapFeedProductType,0)+1,FALSE)&gt;0,1,0)</formula>
    </cfRule>
    <cfRule type="expression" dxfId="1327" priority="2078">
      <formula>IF(VLOOKUP($FO$3,optionalAttributePTDMap,MATCH($A9,attributeMapFeedProductType,0)+1,FALSE)&gt;0,1,0)</formula>
    </cfRule>
    <cfRule type="expression" dxfId="1326" priority="2079">
      <formula>IF(VLOOKUP($FO$3,preferredAttributePTDMap,MATCH($A9,attributeMapFeedProductType,0)+1,FALSE)&gt;0,1,0)</formula>
    </cfRule>
    <cfRule type="expression" dxfId="1325" priority="2080">
      <formula>AND(IF(IFERROR(VLOOKUP($FO$3,requiredAttributePTDMap,MATCH($A9,attributeMapFeedProductType,0)+1,FALSE),0)&gt;0,0,1),IF(IFERROR(VLOOKUP($FO$3,optionalAttributePTDMap,MATCH($A9,attributeMapFeedProductType,0)+1,FALSE),0)&gt;0,0,1),IF(IFERROR(VLOOKUP($FO$3,preferredAttributePTDMap,MATCH($A9,attributeMapFeedProductType,0)+1,FALSE),0)&gt;0,0,1),IF(IFERROR(MATCH($A9,attributeMapFeedProductType,0),0)&gt;0,1,0))</formula>
    </cfRule>
  </conditionalFormatting>
  <conditionalFormatting sqref="FP9:FP12">
    <cfRule type="expression" dxfId="1324" priority="2081">
      <formula>IF(LEN(FP9)&gt;0,1,0)</formula>
    </cfRule>
    <cfRule type="expression" dxfId="1323" priority="2082">
      <formula>AND(A9&lt;&gt;"",OR(OR((FQ9&lt;&gt;"")),OR((FR9&lt;&gt;""))))</formula>
    </cfRule>
    <cfRule type="expression" dxfId="1322" priority="2083">
      <formula>IF(VLOOKUP($FP$3,requiredAttributePTDMap,MATCH($A9,attributeMapFeedProductType,0)+1,FALSE)&gt;0,1,0)</formula>
    </cfRule>
    <cfRule type="expression" dxfId="1321" priority="2084">
      <formula>IF(VLOOKUP($FP$3,optionalAttributePTDMap,MATCH($A9,attributeMapFeedProductType,0)+1,FALSE)&gt;0,1,0)</formula>
    </cfRule>
    <cfRule type="expression" dxfId="1320" priority="2085">
      <formula>IF(VLOOKUP($FP$3,preferredAttributePTDMap,MATCH($A9,attributeMapFeedProductType,0)+1,FALSE)&gt;0,1,0)</formula>
    </cfRule>
    <cfRule type="expression" dxfId="1319" priority="2086">
      <formula>AND(IF(IFERROR(VLOOKUP($FP$3,requiredAttributePTDMap,MATCH($A9,attributeMapFeedProductType,0)+1,FALSE),0)&gt;0,0,1),IF(IFERROR(VLOOKUP($FP$3,optionalAttributePTDMap,MATCH($A9,attributeMapFeedProductType,0)+1,FALSE),0)&gt;0,0,1),IF(IFERROR(VLOOKUP($FP$3,preferredAttributePTDMap,MATCH($A9,attributeMapFeedProductType,0)+1,FALSE),0)&gt;0,0,1),IF(IFERROR(MATCH($A9,attributeMapFeedProductType,0),0)&gt;0,1,0))</formula>
    </cfRule>
  </conditionalFormatting>
  <conditionalFormatting sqref="FQ9:FQ12">
    <cfRule type="expression" dxfId="1318" priority="2087">
      <formula>IF(LEN(FQ9)&gt;0,1,0)</formula>
    </cfRule>
    <cfRule type="expression" dxfId="1317" priority="2088">
      <formula>AND(A9&lt;&gt;"",OR(OR((FP9&lt;&gt;"")),OR((FR9&lt;&gt;""))))</formula>
    </cfRule>
    <cfRule type="expression" dxfId="1316" priority="2089">
      <formula>IF(VLOOKUP($FQ$3,requiredAttributePTDMap,MATCH($A9,attributeMapFeedProductType,0)+1,FALSE)&gt;0,1,0)</formula>
    </cfRule>
    <cfRule type="expression" dxfId="1315" priority="2090">
      <formula>IF(VLOOKUP($FQ$3,optionalAttributePTDMap,MATCH($A9,attributeMapFeedProductType,0)+1,FALSE)&gt;0,1,0)</formula>
    </cfRule>
    <cfRule type="expression" dxfId="1314" priority="2091">
      <formula>IF(VLOOKUP($FQ$3,preferredAttributePTDMap,MATCH($A9,attributeMapFeedProductType,0)+1,FALSE)&gt;0,1,0)</formula>
    </cfRule>
    <cfRule type="expression" dxfId="1313" priority="2092">
      <formula>AND(IF(IFERROR(VLOOKUP($FQ$3,requiredAttributePTDMap,MATCH($A9,attributeMapFeedProductType,0)+1,FALSE),0)&gt;0,0,1),IF(IFERROR(VLOOKUP($FQ$3,optionalAttributePTDMap,MATCH($A9,attributeMapFeedProductType,0)+1,FALSE),0)&gt;0,0,1),IF(IFERROR(VLOOKUP($FQ$3,preferredAttributePTDMap,MATCH($A9,attributeMapFeedProductType,0)+1,FALSE),0)&gt;0,0,1),IF(IFERROR(MATCH($A9,attributeMapFeedProductType,0),0)&gt;0,1,0))</formula>
    </cfRule>
  </conditionalFormatting>
  <conditionalFormatting sqref="FR9:FR12">
    <cfRule type="expression" dxfId="1312" priority="2093">
      <formula>IF(LEN(FR9)&gt;0,1,0)</formula>
    </cfRule>
    <cfRule type="expression" dxfId="1311" priority="2094">
      <formula>AND(A9&lt;&gt;"",OR(OR((FP9&lt;&gt;"")),OR((FQ9&lt;&gt;""))))</formula>
    </cfRule>
    <cfRule type="expression" dxfId="1310" priority="2095">
      <formula>IF(VLOOKUP($FR$3,requiredAttributePTDMap,MATCH($A9,attributeMapFeedProductType,0)+1,FALSE)&gt;0,1,0)</formula>
    </cfRule>
    <cfRule type="expression" dxfId="1309" priority="2096">
      <formula>IF(VLOOKUP($FR$3,optionalAttributePTDMap,MATCH($A9,attributeMapFeedProductType,0)+1,FALSE)&gt;0,1,0)</formula>
    </cfRule>
    <cfRule type="expression" dxfId="1308" priority="2097">
      <formula>IF(VLOOKUP($FR$3,preferredAttributePTDMap,MATCH($A9,attributeMapFeedProductType,0)+1,FALSE)&gt;0,1,0)</formula>
    </cfRule>
    <cfRule type="expression" dxfId="1307" priority="2098">
      <formula>AND(IF(IFERROR(VLOOKUP($FR$3,requiredAttributePTDMap,MATCH($A9,attributeMapFeedProductType,0)+1,FALSE),0)&gt;0,0,1),IF(IFERROR(VLOOKUP($FR$3,optionalAttributePTDMap,MATCH($A9,attributeMapFeedProductType,0)+1,FALSE),0)&gt;0,0,1),IF(IFERROR(VLOOKUP($FR$3,preferredAttributePTDMap,MATCH($A9,attributeMapFeedProductType,0)+1,FALSE),0)&gt;0,0,1),IF(IFERROR(MATCH($A9,attributeMapFeedProductType,0),0)&gt;0,1,0))</formula>
    </cfRule>
  </conditionalFormatting>
  <conditionalFormatting sqref="FS9:FS12">
    <cfRule type="expression" dxfId="1306" priority="2099">
      <formula>AND(AND((0)),1=1)</formula>
    </cfRule>
    <cfRule type="expression" dxfId="1305" priority="2100">
      <formula>IF(LEN(FS9)&gt;0,1,0)</formula>
    </cfRule>
    <cfRule type="expression" dxfId="1304" priority="2101">
      <formula>IF(VLOOKUP($FS$3,requiredAttributePTDMap,MATCH($A9,attributeMapFeedProductType,0)+1,FALSE)&gt;0,1,0)</formula>
    </cfRule>
    <cfRule type="expression" dxfId="1303" priority="2102">
      <formula>IF(VLOOKUP($FS$3,optionalAttributePTDMap,MATCH($A9,attributeMapFeedProductType,0)+1,FALSE)&gt;0,1,0)</formula>
    </cfRule>
    <cfRule type="expression" dxfId="1302" priority="2103">
      <formula>IF(VLOOKUP($FS$3,preferredAttributePTDMap,MATCH($A9,attributeMapFeedProductType,0)+1,FALSE)&gt;0,1,0)</formula>
    </cfRule>
    <cfRule type="expression" dxfId="1301" priority="2104">
      <formula>AND(IF(IFERROR(VLOOKUP($FS$3,requiredAttributePTDMap,MATCH($A9,attributeMapFeedProductType,0)+1,FALSE),0)&gt;0,0,1),IF(IFERROR(VLOOKUP($FS$3,optionalAttributePTDMap,MATCH($A9,attributeMapFeedProductType,0)+1,FALSE),0)&gt;0,0,1),IF(IFERROR(VLOOKUP($FS$3,preferredAttributePTDMap,MATCH($A9,attributeMapFeedProductType,0)+1,FALSE),0)&gt;0,0,1),IF(IFERROR(MATCH($A9,attributeMapFeedProductType,0),0)&gt;0,1,0))</formula>
    </cfRule>
  </conditionalFormatting>
  <conditionalFormatting sqref="FT9:FT12">
    <cfRule type="expression" dxfId="1300" priority="2105">
      <formula>IF(LEN(FT9)&gt;0,1,0)</formula>
    </cfRule>
    <cfRule type="expression" dxfId="1299" priority="2106">
      <formula>IF(VLOOKUP($FT$3,requiredAttributePTDMap,MATCH($A9,attributeMapFeedProductType,0)+1,FALSE)&gt;0,1,0)</formula>
    </cfRule>
    <cfRule type="expression" dxfId="1298" priority="2107">
      <formula>IF(VLOOKUP($FT$3,optionalAttributePTDMap,MATCH($A9,attributeMapFeedProductType,0)+1,FALSE)&gt;0,1,0)</formula>
    </cfRule>
    <cfRule type="expression" dxfId="1297" priority="2108">
      <formula>IF(VLOOKUP($FT$3,preferredAttributePTDMap,MATCH($A9,attributeMapFeedProductType,0)+1,FALSE)&gt;0,1,0)</formula>
    </cfRule>
    <cfRule type="expression" dxfId="1296" priority="2109">
      <formula>AND(IF(IFERROR(VLOOKUP($FT$3,requiredAttributePTDMap,MATCH($A9,attributeMapFeedProductType,0)+1,FALSE),0)&gt;0,0,1),IF(IFERROR(VLOOKUP($FT$3,optionalAttributePTDMap,MATCH($A9,attributeMapFeedProductType,0)+1,FALSE),0)&gt;0,0,1),IF(IFERROR(VLOOKUP($FT$3,preferredAttributePTDMap,MATCH($A9,attributeMapFeedProductType,0)+1,FALSE),0)&gt;0,0,1),IF(IFERROR(MATCH($A9,attributeMapFeedProductType,0),0)&gt;0,1,0))</formula>
    </cfRule>
  </conditionalFormatting>
  <conditionalFormatting sqref="FU9:FU12">
    <cfRule type="expression" dxfId="1295" priority="2110">
      <formula>AND(AND((0)),1=1)</formula>
    </cfRule>
    <cfRule type="expression" dxfId="1294" priority="2111">
      <formula>IF(LEN(FU9)&gt;0,1,0)</formula>
    </cfRule>
    <cfRule type="expression" dxfId="1293" priority="2112">
      <formula>IF(VLOOKUP($FU$3,requiredAttributePTDMap,MATCH($A9,attributeMapFeedProductType,0)+1,FALSE)&gt;0,1,0)</formula>
    </cfRule>
    <cfRule type="expression" dxfId="1292" priority="2113">
      <formula>IF(VLOOKUP($FU$3,optionalAttributePTDMap,MATCH($A9,attributeMapFeedProductType,0)+1,FALSE)&gt;0,1,0)</formula>
    </cfRule>
    <cfRule type="expression" dxfId="1291" priority="2114">
      <formula>IF(VLOOKUP($FU$3,preferredAttributePTDMap,MATCH($A9,attributeMapFeedProductType,0)+1,FALSE)&gt;0,1,0)</formula>
    </cfRule>
    <cfRule type="expression" dxfId="1290" priority="2115">
      <formula>AND(IF(IFERROR(VLOOKUP($FU$3,requiredAttributePTDMap,MATCH($A9,attributeMapFeedProductType,0)+1,FALSE),0)&gt;0,0,1),IF(IFERROR(VLOOKUP($FU$3,optionalAttributePTDMap,MATCH($A9,attributeMapFeedProductType,0)+1,FALSE),0)&gt;0,0,1),IF(IFERROR(VLOOKUP($FU$3,preferredAttributePTDMap,MATCH($A9,attributeMapFeedProductType,0)+1,FALSE),0)&gt;0,0,1),IF(IFERROR(MATCH($A9,attributeMapFeedProductType,0),0)&gt;0,1,0))</formula>
    </cfRule>
  </conditionalFormatting>
  <conditionalFormatting sqref="FV9:FV12">
    <cfRule type="expression" dxfId="1289" priority="2116">
      <formula>IF(LEN(FV9)&gt;0,1,0)</formula>
    </cfRule>
    <cfRule type="expression" dxfId="1288" priority="2117">
      <formula>AND(A9&lt;&gt;"",OR(OR((FW9&lt;&gt;"")),OR((FX9&lt;&gt;""))))</formula>
    </cfRule>
    <cfRule type="expression" dxfId="1287" priority="2118">
      <formula>IF(VLOOKUP($FV$3,requiredAttributePTDMap,MATCH($A9,attributeMapFeedProductType,0)+1,FALSE)&gt;0,1,0)</formula>
    </cfRule>
    <cfRule type="expression" dxfId="1286" priority="2119">
      <formula>IF(VLOOKUP($FV$3,optionalAttributePTDMap,MATCH($A9,attributeMapFeedProductType,0)+1,FALSE)&gt;0,1,0)</formula>
    </cfRule>
    <cfRule type="expression" dxfId="1285" priority="2120">
      <formula>IF(VLOOKUP($FV$3,preferredAttributePTDMap,MATCH($A9,attributeMapFeedProductType,0)+1,FALSE)&gt;0,1,0)</formula>
    </cfRule>
    <cfRule type="expression" dxfId="1284" priority="2121">
      <formula>AND(IF(IFERROR(VLOOKUP($FV$3,requiredAttributePTDMap,MATCH($A9,attributeMapFeedProductType,0)+1,FALSE),0)&gt;0,0,1),IF(IFERROR(VLOOKUP($FV$3,optionalAttributePTDMap,MATCH($A9,attributeMapFeedProductType,0)+1,FALSE),0)&gt;0,0,1),IF(IFERROR(VLOOKUP($FV$3,preferredAttributePTDMap,MATCH($A9,attributeMapFeedProductType,0)+1,FALSE),0)&gt;0,0,1),IF(IFERROR(MATCH($A9,attributeMapFeedProductType,0),0)&gt;0,1,0))</formula>
    </cfRule>
  </conditionalFormatting>
  <conditionalFormatting sqref="FW9:FW12">
    <cfRule type="expression" dxfId="1283" priority="2122">
      <formula>IF(LEN(FW9)&gt;0,1,0)</formula>
    </cfRule>
    <cfRule type="expression" dxfId="1282" priority="2123">
      <formula>AND(A9&lt;&gt;"",OR(OR((FV9&lt;&gt;"")),OR((FX9&lt;&gt;""))))</formula>
    </cfRule>
    <cfRule type="expression" dxfId="1281" priority="2124">
      <formula>IF(VLOOKUP($FW$3,requiredAttributePTDMap,MATCH($A9,attributeMapFeedProductType,0)+1,FALSE)&gt;0,1,0)</formula>
    </cfRule>
    <cfRule type="expression" dxfId="1280" priority="2125">
      <formula>IF(VLOOKUP($FW$3,optionalAttributePTDMap,MATCH($A9,attributeMapFeedProductType,0)+1,FALSE)&gt;0,1,0)</formula>
    </cfRule>
    <cfRule type="expression" dxfId="1279" priority="2126">
      <formula>IF(VLOOKUP($FW$3,preferredAttributePTDMap,MATCH($A9,attributeMapFeedProductType,0)+1,FALSE)&gt;0,1,0)</formula>
    </cfRule>
    <cfRule type="expression" dxfId="1278" priority="2127">
      <formula>AND(IF(IFERROR(VLOOKUP($FW$3,requiredAttributePTDMap,MATCH($A9,attributeMapFeedProductType,0)+1,FALSE),0)&gt;0,0,1),IF(IFERROR(VLOOKUP($FW$3,optionalAttributePTDMap,MATCH($A9,attributeMapFeedProductType,0)+1,FALSE),0)&gt;0,0,1),IF(IFERROR(VLOOKUP($FW$3,preferredAttributePTDMap,MATCH($A9,attributeMapFeedProductType,0)+1,FALSE),0)&gt;0,0,1),IF(IFERROR(MATCH($A9,attributeMapFeedProductType,0),0)&gt;0,1,0))</formula>
    </cfRule>
  </conditionalFormatting>
  <conditionalFormatting sqref="FX9:FX12">
    <cfRule type="expression" dxfId="1277" priority="2128">
      <formula>IF(LEN(FX9)&gt;0,1,0)</formula>
    </cfRule>
    <cfRule type="expression" dxfId="1276" priority="2129">
      <formula>AND(A9&lt;&gt;"",OR(OR((FV9&lt;&gt;"")),OR((FW9&lt;&gt;""))))</formula>
    </cfRule>
    <cfRule type="expression" dxfId="1275" priority="2130">
      <formula>IF(VLOOKUP($FX$3,requiredAttributePTDMap,MATCH($A9,attributeMapFeedProductType,0)+1,FALSE)&gt;0,1,0)</formula>
    </cfRule>
    <cfRule type="expression" dxfId="1274" priority="2131">
      <formula>IF(VLOOKUP($FX$3,optionalAttributePTDMap,MATCH($A9,attributeMapFeedProductType,0)+1,FALSE)&gt;0,1,0)</formula>
    </cfRule>
    <cfRule type="expression" dxfId="1273" priority="2132">
      <formula>IF(VLOOKUP($FX$3,preferredAttributePTDMap,MATCH($A9,attributeMapFeedProductType,0)+1,FALSE)&gt;0,1,0)</formula>
    </cfRule>
    <cfRule type="expression" dxfId="1272" priority="2133">
      <formula>AND(IF(IFERROR(VLOOKUP($FX$3,requiredAttributePTDMap,MATCH($A9,attributeMapFeedProductType,0)+1,FALSE),0)&gt;0,0,1),IF(IFERROR(VLOOKUP($FX$3,optionalAttributePTDMap,MATCH($A9,attributeMapFeedProductType,0)+1,FALSE),0)&gt;0,0,1),IF(IFERROR(VLOOKUP($FX$3,preferredAttributePTDMap,MATCH($A9,attributeMapFeedProductType,0)+1,FALSE),0)&gt;0,0,1),IF(IFERROR(MATCH($A9,attributeMapFeedProductType,0),0)&gt;0,1,0))</formula>
    </cfRule>
  </conditionalFormatting>
  <conditionalFormatting sqref="FY9:FY12">
    <cfRule type="expression" dxfId="1271" priority="2134">
      <formula>AND(AND((0)),1=1)</formula>
    </cfRule>
    <cfRule type="expression" dxfId="1270" priority="2135">
      <formula>IF(LEN(FY9)&gt;0,1,0)</formula>
    </cfRule>
    <cfRule type="expression" dxfId="1269" priority="2136">
      <formula>IF(VLOOKUP($FY$3,requiredAttributePTDMap,MATCH($A9,attributeMapFeedProductType,0)+1,FALSE)&gt;0,1,0)</formula>
    </cfRule>
    <cfRule type="expression" dxfId="1268" priority="2137">
      <formula>IF(VLOOKUP($FY$3,optionalAttributePTDMap,MATCH($A9,attributeMapFeedProductType,0)+1,FALSE)&gt;0,1,0)</formula>
    </cfRule>
    <cfRule type="expression" dxfId="1267" priority="2138">
      <formula>IF(VLOOKUP($FY$3,preferredAttributePTDMap,MATCH($A9,attributeMapFeedProductType,0)+1,FALSE)&gt;0,1,0)</formula>
    </cfRule>
    <cfRule type="expression" dxfId="1266" priority="2139">
      <formula>AND(IF(IFERROR(VLOOKUP($FY$3,requiredAttributePTDMap,MATCH($A9,attributeMapFeedProductType,0)+1,FALSE),0)&gt;0,0,1),IF(IFERROR(VLOOKUP($FY$3,optionalAttributePTDMap,MATCH($A9,attributeMapFeedProductType,0)+1,FALSE),0)&gt;0,0,1),IF(IFERROR(VLOOKUP($FY$3,preferredAttributePTDMap,MATCH($A9,attributeMapFeedProductType,0)+1,FALSE),0)&gt;0,0,1),IF(IFERROR(MATCH($A9,attributeMapFeedProductType,0),0)&gt;0,1,0))</formula>
    </cfRule>
  </conditionalFormatting>
  <conditionalFormatting sqref="FZ9:FZ12">
    <cfRule type="expression" dxfId="1265" priority="2140">
      <formula>IF(LEN(FZ9)&gt;0,1,0)</formula>
    </cfRule>
    <cfRule type="expression" dxfId="1264" priority="2141">
      <formula>IF(VLOOKUP($FZ$3,requiredAttributePTDMap,MATCH($A9,attributeMapFeedProductType,0)+1,FALSE)&gt;0,1,0)</formula>
    </cfRule>
    <cfRule type="expression" dxfId="1263" priority="2142">
      <formula>IF(VLOOKUP($FZ$3,optionalAttributePTDMap,MATCH($A9,attributeMapFeedProductType,0)+1,FALSE)&gt;0,1,0)</formula>
    </cfRule>
    <cfRule type="expression" dxfId="1262" priority="2143">
      <formula>IF(VLOOKUP($FZ$3,preferredAttributePTDMap,MATCH($A9,attributeMapFeedProductType,0)+1,FALSE)&gt;0,1,0)</formula>
    </cfRule>
    <cfRule type="expression" dxfId="1261" priority="2144">
      <formula>AND(IF(IFERROR(VLOOKUP($FZ$3,requiredAttributePTDMap,MATCH($A9,attributeMapFeedProductType,0)+1,FALSE),0)&gt;0,0,1),IF(IFERROR(VLOOKUP($FZ$3,optionalAttributePTDMap,MATCH($A9,attributeMapFeedProductType,0)+1,FALSE),0)&gt;0,0,1),IF(IFERROR(VLOOKUP($FZ$3,preferredAttributePTDMap,MATCH($A9,attributeMapFeedProductType,0)+1,FALSE),0)&gt;0,0,1),IF(IFERROR(MATCH($A9,attributeMapFeedProductType,0),0)&gt;0,1,0))</formula>
    </cfRule>
  </conditionalFormatting>
  <conditionalFormatting sqref="GA9:GA12">
    <cfRule type="expression" dxfId="1260" priority="2145">
      <formula>AND(AND((0)),1=1)</formula>
    </cfRule>
    <cfRule type="expression" dxfId="1259" priority="2146">
      <formula>IF(LEN(GA9)&gt;0,1,0)</formula>
    </cfRule>
    <cfRule type="expression" dxfId="1258" priority="2147">
      <formula>IF(VLOOKUP($GA$3,requiredAttributePTDMap,MATCH($A9,attributeMapFeedProductType,0)+1,FALSE)&gt;0,1,0)</formula>
    </cfRule>
    <cfRule type="expression" dxfId="1257" priority="2148">
      <formula>IF(VLOOKUP($GA$3,optionalAttributePTDMap,MATCH($A9,attributeMapFeedProductType,0)+1,FALSE)&gt;0,1,0)</formula>
    </cfRule>
    <cfRule type="expression" dxfId="1256" priority="2149">
      <formula>IF(VLOOKUP($GA$3,preferredAttributePTDMap,MATCH($A9,attributeMapFeedProductType,0)+1,FALSE)&gt;0,1,0)</formula>
    </cfRule>
    <cfRule type="expression" dxfId="1255" priority="2150">
      <formula>AND(IF(IFERROR(VLOOKUP($GA$3,requiredAttributePTDMap,MATCH($A9,attributeMapFeedProductType,0)+1,FALSE),0)&gt;0,0,1),IF(IFERROR(VLOOKUP($GA$3,optionalAttributePTDMap,MATCH($A9,attributeMapFeedProductType,0)+1,FALSE),0)&gt;0,0,1),IF(IFERROR(VLOOKUP($GA$3,preferredAttributePTDMap,MATCH($A9,attributeMapFeedProductType,0)+1,FALSE),0)&gt;0,0,1),IF(IFERROR(MATCH($A9,attributeMapFeedProductType,0),0)&gt;0,1,0))</formula>
    </cfRule>
  </conditionalFormatting>
  <conditionalFormatting sqref="GB9:GB12">
    <cfRule type="expression" dxfId="1254" priority="2151">
      <formula>IF(LEN(GB9)&gt;0,1,0)</formula>
    </cfRule>
    <cfRule type="expression" dxfId="1253" priority="2152">
      <formula>IF(VLOOKUP($GB$3,requiredAttributePTDMap,MATCH($A9,attributeMapFeedProductType,0)+1,FALSE)&gt;0,1,0)</formula>
    </cfRule>
    <cfRule type="expression" dxfId="1252" priority="2153">
      <formula>IF(VLOOKUP($GB$3,optionalAttributePTDMap,MATCH($A9,attributeMapFeedProductType,0)+1,FALSE)&gt;0,1,0)</formula>
    </cfRule>
    <cfRule type="expression" dxfId="1251" priority="2154">
      <formula>IF(VLOOKUP($GB$3,preferredAttributePTDMap,MATCH($A9,attributeMapFeedProductType,0)+1,FALSE)&gt;0,1,0)</formula>
    </cfRule>
    <cfRule type="expression" dxfId="1250" priority="2155">
      <formula>AND(IF(IFERROR(VLOOKUP($GB$3,requiredAttributePTDMap,MATCH($A9,attributeMapFeedProductType,0)+1,FALSE),0)&gt;0,0,1),IF(IFERROR(VLOOKUP($GB$3,optionalAttributePTDMap,MATCH($A9,attributeMapFeedProductType,0)+1,FALSE),0)&gt;0,0,1),IF(IFERROR(VLOOKUP($GB$3,preferredAttributePTDMap,MATCH($A9,attributeMapFeedProductType,0)+1,FALSE),0)&gt;0,0,1),IF(IFERROR(MATCH($A9,attributeMapFeedProductType,0),0)&gt;0,1,0))</formula>
    </cfRule>
  </conditionalFormatting>
  <conditionalFormatting sqref="GC9:GC12">
    <cfRule type="expression" dxfId="1249" priority="2156">
      <formula>IF(LEN(GC9)&gt;0,1,0)</formula>
    </cfRule>
    <cfRule type="expression" dxfId="1248" priority="2157">
      <formula>IF(VLOOKUP($GC$3,requiredAttributePTDMap,MATCH($A9,attributeMapFeedProductType,0)+1,FALSE)&gt;0,1,0)</formula>
    </cfRule>
    <cfRule type="expression" dxfId="1247" priority="2158">
      <formula>IF(VLOOKUP($GC$3,optionalAttributePTDMap,MATCH($A9,attributeMapFeedProductType,0)+1,FALSE)&gt;0,1,0)</formula>
    </cfRule>
    <cfRule type="expression" dxfId="1246" priority="2159">
      <formula>IF(VLOOKUP($GC$3,preferredAttributePTDMap,MATCH($A9,attributeMapFeedProductType,0)+1,FALSE)&gt;0,1,0)</formula>
    </cfRule>
    <cfRule type="expression" dxfId="1245" priority="2160">
      <formula>AND(IF(IFERROR(VLOOKUP($GC$3,requiredAttributePTDMap,MATCH($A9,attributeMapFeedProductType,0)+1,FALSE),0)&gt;0,0,1),IF(IFERROR(VLOOKUP($GC$3,optionalAttributePTDMap,MATCH($A9,attributeMapFeedProductType,0)+1,FALSE),0)&gt;0,0,1),IF(IFERROR(VLOOKUP($GC$3,preferredAttributePTDMap,MATCH($A9,attributeMapFeedProductType,0)+1,FALSE),0)&gt;0,0,1),IF(IFERROR(MATCH($A9,attributeMapFeedProductType,0),0)&gt;0,1,0))</formula>
    </cfRule>
  </conditionalFormatting>
  <conditionalFormatting sqref="GD9:GD12">
    <cfRule type="expression" dxfId="1244" priority="2161">
      <formula>IF(LEN(GD9)&gt;0,1,0)</formula>
    </cfRule>
    <cfRule type="expression" dxfId="1243" priority="2162">
      <formula>IF(VLOOKUP($GD$3,requiredAttributePTDMap,MATCH($A9,attributeMapFeedProductType,0)+1,FALSE)&gt;0,1,0)</formula>
    </cfRule>
    <cfRule type="expression" dxfId="1242" priority="2163">
      <formula>IF(VLOOKUP($GD$3,optionalAttributePTDMap,MATCH($A9,attributeMapFeedProductType,0)+1,FALSE)&gt;0,1,0)</formula>
    </cfRule>
    <cfRule type="expression" dxfId="1241" priority="2164">
      <formula>IF(VLOOKUP($GD$3,preferredAttributePTDMap,MATCH($A9,attributeMapFeedProductType,0)+1,FALSE)&gt;0,1,0)</formula>
    </cfRule>
    <cfRule type="expression" dxfId="1240" priority="2165">
      <formula>AND(IF(IFERROR(VLOOKUP($GD$3,requiredAttributePTDMap,MATCH($A9,attributeMapFeedProductType,0)+1,FALSE),0)&gt;0,0,1),IF(IFERROR(VLOOKUP($GD$3,optionalAttributePTDMap,MATCH($A9,attributeMapFeedProductType,0)+1,FALSE),0)&gt;0,0,1),IF(IFERROR(VLOOKUP($GD$3,preferredAttributePTDMap,MATCH($A9,attributeMapFeedProductType,0)+1,FALSE),0)&gt;0,0,1),IF(IFERROR(MATCH($A9,attributeMapFeedProductType,0),0)&gt;0,1,0))</formula>
    </cfRule>
  </conditionalFormatting>
  <conditionalFormatting sqref="GE9:GE12">
    <cfRule type="expression" dxfId="1239" priority="2166">
      <formula>IF(LEN(GE9)&gt;0,1,0)</formula>
    </cfRule>
    <cfRule type="expression" dxfId="1238" priority="2167">
      <formula>IF(VLOOKUP($GE$3,requiredAttributePTDMap,MATCH($A9,attributeMapFeedProductType,0)+1,FALSE)&gt;0,1,0)</formula>
    </cfRule>
    <cfRule type="expression" dxfId="1237" priority="2168">
      <formula>IF(VLOOKUP($GE$3,optionalAttributePTDMap,MATCH($A9,attributeMapFeedProductType,0)+1,FALSE)&gt;0,1,0)</formula>
    </cfRule>
    <cfRule type="expression" dxfId="1236" priority="2169">
      <formula>IF(VLOOKUP($GE$3,preferredAttributePTDMap,MATCH($A9,attributeMapFeedProductType,0)+1,FALSE)&gt;0,1,0)</formula>
    </cfRule>
    <cfRule type="expression" dxfId="1235" priority="2170">
      <formula>AND(IF(IFERROR(VLOOKUP($GE$3,requiredAttributePTDMap,MATCH($A9,attributeMapFeedProductType,0)+1,FALSE),0)&gt;0,0,1),IF(IFERROR(VLOOKUP($GE$3,optionalAttributePTDMap,MATCH($A9,attributeMapFeedProductType,0)+1,FALSE),0)&gt;0,0,1),IF(IFERROR(VLOOKUP($GE$3,preferredAttributePTDMap,MATCH($A9,attributeMapFeedProductType,0)+1,FALSE),0)&gt;0,0,1),IF(IFERROR(MATCH($A9,attributeMapFeedProductType,0),0)&gt;0,1,0))</formula>
    </cfRule>
  </conditionalFormatting>
  <conditionalFormatting sqref="GF9:GF12">
    <cfRule type="expression" dxfId="1234" priority="2171">
      <formula>IF(LEN(GF9)&gt;0,1,0)</formula>
    </cfRule>
    <cfRule type="expression" dxfId="1233" priority="2172">
      <formula>IF(VLOOKUP($GF$3,requiredAttributePTDMap,MATCH($A9,attributeMapFeedProductType,0)+1,FALSE)&gt;0,1,0)</formula>
    </cfRule>
    <cfRule type="expression" dxfId="1232" priority="2173">
      <formula>IF(VLOOKUP($GF$3,optionalAttributePTDMap,MATCH($A9,attributeMapFeedProductType,0)+1,FALSE)&gt;0,1,0)</formula>
    </cfRule>
    <cfRule type="expression" dxfId="1231" priority="2174">
      <formula>IF(VLOOKUP($GF$3,preferredAttributePTDMap,MATCH($A9,attributeMapFeedProductType,0)+1,FALSE)&gt;0,1,0)</formula>
    </cfRule>
    <cfRule type="expression" dxfId="1230" priority="2175">
      <formula>AND(IF(IFERROR(VLOOKUP($GF$3,requiredAttributePTDMap,MATCH($A9,attributeMapFeedProductType,0)+1,FALSE),0)&gt;0,0,1),IF(IFERROR(VLOOKUP($GF$3,optionalAttributePTDMap,MATCH($A9,attributeMapFeedProductType,0)+1,FALSE),0)&gt;0,0,1),IF(IFERROR(VLOOKUP($GF$3,preferredAttributePTDMap,MATCH($A9,attributeMapFeedProductType,0)+1,FALSE),0)&gt;0,0,1),IF(IFERROR(MATCH($A9,attributeMapFeedProductType,0),0)&gt;0,1,0))</formula>
    </cfRule>
  </conditionalFormatting>
  <conditionalFormatting sqref="GG9:GG12">
    <cfRule type="expression" dxfId="1229" priority="2176">
      <formula>IF(LEN(GG9)&gt;0,1,0)</formula>
    </cfRule>
    <cfRule type="expression" dxfId="1228" priority="2177">
      <formula>IF(VLOOKUP($GG$3,requiredAttributePTDMap,MATCH($A9,attributeMapFeedProductType,0)+1,FALSE)&gt;0,1,0)</formula>
    </cfRule>
    <cfRule type="expression" dxfId="1227" priority="2178">
      <formula>IF(VLOOKUP($GG$3,optionalAttributePTDMap,MATCH($A9,attributeMapFeedProductType,0)+1,FALSE)&gt;0,1,0)</formula>
    </cfRule>
    <cfRule type="expression" dxfId="1226" priority="2179">
      <formula>IF(VLOOKUP($GG$3,preferredAttributePTDMap,MATCH($A9,attributeMapFeedProductType,0)+1,FALSE)&gt;0,1,0)</formula>
    </cfRule>
    <cfRule type="expression" dxfId="1225" priority="2180">
      <formula>AND(IF(IFERROR(VLOOKUP($GG$3,requiredAttributePTDMap,MATCH($A9,attributeMapFeedProductType,0)+1,FALSE),0)&gt;0,0,1),IF(IFERROR(VLOOKUP($GG$3,optionalAttributePTDMap,MATCH($A9,attributeMapFeedProductType,0)+1,FALSE),0)&gt;0,0,1),IF(IFERROR(VLOOKUP($GG$3,preferredAttributePTDMap,MATCH($A9,attributeMapFeedProductType,0)+1,FALSE),0)&gt;0,0,1),IF(IFERROR(MATCH($A9,attributeMapFeedProductType,0),0)&gt;0,1,0))</formula>
    </cfRule>
  </conditionalFormatting>
  <conditionalFormatting sqref="GH9:GH12">
    <cfRule type="expression" dxfId="1224" priority="2181">
      <formula>IF(LEN(GH9)&gt;0,1,0)</formula>
    </cfRule>
    <cfRule type="expression" dxfId="1223" priority="2182">
      <formula>IF(VLOOKUP($GH$3,requiredAttributePTDMap,MATCH($A9,attributeMapFeedProductType,0)+1,FALSE)&gt;0,1,0)</formula>
    </cfRule>
    <cfRule type="expression" dxfId="1222" priority="2183">
      <formula>IF(VLOOKUP($GH$3,optionalAttributePTDMap,MATCH($A9,attributeMapFeedProductType,0)+1,FALSE)&gt;0,1,0)</formula>
    </cfRule>
    <cfRule type="expression" dxfId="1221" priority="2184">
      <formula>IF(VLOOKUP($GH$3,preferredAttributePTDMap,MATCH($A9,attributeMapFeedProductType,0)+1,FALSE)&gt;0,1,0)</formula>
    </cfRule>
    <cfRule type="expression" dxfId="1220" priority="2185">
      <formula>AND(IF(IFERROR(VLOOKUP($GH$3,requiredAttributePTDMap,MATCH($A9,attributeMapFeedProductType,0)+1,FALSE),0)&gt;0,0,1),IF(IFERROR(VLOOKUP($GH$3,optionalAttributePTDMap,MATCH($A9,attributeMapFeedProductType,0)+1,FALSE),0)&gt;0,0,1),IF(IFERROR(VLOOKUP($GH$3,preferredAttributePTDMap,MATCH($A9,attributeMapFeedProductType,0)+1,FALSE),0)&gt;0,0,1),IF(IFERROR(MATCH($A9,attributeMapFeedProductType,0),0)&gt;0,1,0))</formula>
    </cfRule>
  </conditionalFormatting>
  <conditionalFormatting sqref="GI9:GI12">
    <cfRule type="expression" dxfId="1219" priority="2186">
      <formula>IF(LEN(GI9)&gt;0,1,0)</formula>
    </cfRule>
    <cfRule type="expression" dxfId="1218" priority="2187">
      <formula>IF(VLOOKUP($GI$3,requiredAttributePTDMap,MATCH($A9,attributeMapFeedProductType,0)+1,FALSE)&gt;0,1,0)</formula>
    </cfRule>
    <cfRule type="expression" dxfId="1217" priority="2188">
      <formula>IF(VLOOKUP($GI$3,optionalAttributePTDMap,MATCH($A9,attributeMapFeedProductType,0)+1,FALSE)&gt;0,1,0)</formula>
    </cfRule>
    <cfRule type="expression" dxfId="1216" priority="2189">
      <formula>IF(VLOOKUP($GI$3,preferredAttributePTDMap,MATCH($A9,attributeMapFeedProductType,0)+1,FALSE)&gt;0,1,0)</formula>
    </cfRule>
    <cfRule type="expression" dxfId="1215" priority="2190">
      <formula>AND(IF(IFERROR(VLOOKUP($GI$3,requiredAttributePTDMap,MATCH($A9,attributeMapFeedProductType,0)+1,FALSE),0)&gt;0,0,1),IF(IFERROR(VLOOKUP($GI$3,optionalAttributePTDMap,MATCH($A9,attributeMapFeedProductType,0)+1,FALSE),0)&gt;0,0,1),IF(IFERROR(VLOOKUP($GI$3,preferredAttributePTDMap,MATCH($A9,attributeMapFeedProductType,0)+1,FALSE),0)&gt;0,0,1),IF(IFERROR(MATCH($A9,attributeMapFeedProductType,0),0)&gt;0,1,0))</formula>
    </cfRule>
  </conditionalFormatting>
  <conditionalFormatting sqref="GJ9:GJ12">
    <cfRule type="expression" dxfId="1214" priority="2191">
      <formula>IF(LEN(GJ9)&gt;0,1,0)</formula>
    </cfRule>
    <cfRule type="expression" dxfId="1213" priority="2192">
      <formula>IF(VLOOKUP($GJ$3,requiredAttributePTDMap,MATCH($A9,attributeMapFeedProductType,0)+1,FALSE)&gt;0,1,0)</formula>
    </cfRule>
    <cfRule type="expression" dxfId="1212" priority="2193">
      <formula>IF(VLOOKUP($GJ$3,optionalAttributePTDMap,MATCH($A9,attributeMapFeedProductType,0)+1,FALSE)&gt;0,1,0)</formula>
    </cfRule>
    <cfRule type="expression" dxfId="1211" priority="2194">
      <formula>IF(VLOOKUP($GJ$3,preferredAttributePTDMap,MATCH($A9,attributeMapFeedProductType,0)+1,FALSE)&gt;0,1,0)</formula>
    </cfRule>
    <cfRule type="expression" dxfId="1210" priority="2195">
      <formula>AND(IF(IFERROR(VLOOKUP($GJ$3,requiredAttributePTDMap,MATCH($A9,attributeMapFeedProductType,0)+1,FALSE),0)&gt;0,0,1),IF(IFERROR(VLOOKUP($GJ$3,optionalAttributePTDMap,MATCH($A9,attributeMapFeedProductType,0)+1,FALSE),0)&gt;0,0,1),IF(IFERROR(VLOOKUP($GJ$3,preferredAttributePTDMap,MATCH($A9,attributeMapFeedProductType,0)+1,FALSE),0)&gt;0,0,1),IF(IFERROR(MATCH($A9,attributeMapFeedProductType,0),0)&gt;0,1,0))</formula>
    </cfRule>
  </conditionalFormatting>
  <conditionalFormatting sqref="GK9:GK12">
    <cfRule type="expression" dxfId="1209" priority="2196">
      <formula>IF(LEN(GK9)&gt;0,1,0)</formula>
    </cfRule>
    <cfRule type="expression" dxfId="1208" priority="2197">
      <formula>IF(VLOOKUP($GK$3,requiredAttributePTDMap,MATCH($A9,attributeMapFeedProductType,0)+1,FALSE)&gt;0,1,0)</formula>
    </cfRule>
    <cfRule type="expression" dxfId="1207" priority="2198">
      <formula>IF(VLOOKUP($GK$3,optionalAttributePTDMap,MATCH($A9,attributeMapFeedProductType,0)+1,FALSE)&gt;0,1,0)</formula>
    </cfRule>
    <cfRule type="expression" dxfId="1206" priority="2199">
      <formula>IF(VLOOKUP($GK$3,preferredAttributePTDMap,MATCH($A9,attributeMapFeedProductType,0)+1,FALSE)&gt;0,1,0)</formula>
    </cfRule>
    <cfRule type="expression" dxfId="1205" priority="2200">
      <formula>AND(IF(IFERROR(VLOOKUP($GK$3,requiredAttributePTDMap,MATCH($A9,attributeMapFeedProductType,0)+1,FALSE),0)&gt;0,0,1),IF(IFERROR(VLOOKUP($GK$3,optionalAttributePTDMap,MATCH($A9,attributeMapFeedProductType,0)+1,FALSE),0)&gt;0,0,1),IF(IFERROR(VLOOKUP($GK$3,preferredAttributePTDMap,MATCH($A9,attributeMapFeedProductType,0)+1,FALSE),0)&gt;0,0,1),IF(IFERROR(MATCH($A9,attributeMapFeedProductType,0),0)&gt;0,1,0))</formula>
    </cfRule>
  </conditionalFormatting>
  <conditionalFormatting sqref="GL9:GL12">
    <cfRule type="expression" dxfId="1204" priority="2201">
      <formula>IF(LEN(GL9)&gt;0,1,0)</formula>
    </cfRule>
    <cfRule type="expression" dxfId="1203" priority="2202">
      <formula>IF(VLOOKUP($GL$3,requiredAttributePTDMap,MATCH($A9,attributeMapFeedProductType,0)+1,FALSE)&gt;0,1,0)</formula>
    </cfRule>
    <cfRule type="expression" dxfId="1202" priority="2203">
      <formula>IF(VLOOKUP($GL$3,optionalAttributePTDMap,MATCH($A9,attributeMapFeedProductType,0)+1,FALSE)&gt;0,1,0)</formula>
    </cfRule>
    <cfRule type="expression" dxfId="1201" priority="2204">
      <formula>IF(VLOOKUP($GL$3,preferredAttributePTDMap,MATCH($A9,attributeMapFeedProductType,0)+1,FALSE)&gt;0,1,0)</formula>
    </cfRule>
    <cfRule type="expression" dxfId="1200" priority="2205">
      <formula>AND(IF(IFERROR(VLOOKUP($GL$3,requiredAttributePTDMap,MATCH($A9,attributeMapFeedProductType,0)+1,FALSE),0)&gt;0,0,1),IF(IFERROR(VLOOKUP($GL$3,optionalAttributePTDMap,MATCH($A9,attributeMapFeedProductType,0)+1,FALSE),0)&gt;0,0,1),IF(IFERROR(VLOOKUP($GL$3,preferredAttributePTDMap,MATCH($A9,attributeMapFeedProductType,0)+1,FALSE),0)&gt;0,0,1),IF(IFERROR(MATCH($A9,attributeMapFeedProductType,0),0)&gt;0,1,0))</formula>
    </cfRule>
  </conditionalFormatting>
  <conditionalFormatting sqref="GM9:GM12">
    <cfRule type="expression" dxfId="1199" priority="2206">
      <formula>IF(LEN(GM9)&gt;0,1,0)</formula>
    </cfRule>
    <cfRule type="expression" dxfId="1198" priority="2207">
      <formula>IF(VLOOKUP($GM$3,requiredAttributePTDMap,MATCH($A9,attributeMapFeedProductType,0)+1,FALSE)&gt;0,1,0)</formula>
    </cfRule>
    <cfRule type="expression" dxfId="1197" priority="2208">
      <formula>IF(VLOOKUP($GM$3,optionalAttributePTDMap,MATCH($A9,attributeMapFeedProductType,0)+1,FALSE)&gt;0,1,0)</formula>
    </cfRule>
    <cfRule type="expression" dxfId="1196" priority="2209">
      <formula>IF(VLOOKUP($GM$3,preferredAttributePTDMap,MATCH($A9,attributeMapFeedProductType,0)+1,FALSE)&gt;0,1,0)</formula>
    </cfRule>
    <cfRule type="expression" dxfId="1195" priority="2210">
      <formula>AND(IF(IFERROR(VLOOKUP($GM$3,requiredAttributePTDMap,MATCH($A9,attributeMapFeedProductType,0)+1,FALSE),0)&gt;0,0,1),IF(IFERROR(VLOOKUP($GM$3,optionalAttributePTDMap,MATCH($A9,attributeMapFeedProductType,0)+1,FALSE),0)&gt;0,0,1),IF(IFERROR(VLOOKUP($GM$3,preferredAttributePTDMap,MATCH($A9,attributeMapFeedProductType,0)+1,FALSE),0)&gt;0,0,1),IF(IFERROR(MATCH($A9,attributeMapFeedProductType,0),0)&gt;0,1,0))</formula>
    </cfRule>
  </conditionalFormatting>
  <conditionalFormatting sqref="GN9:GN12">
    <cfRule type="expression" dxfId="1194" priority="2211">
      <formula>IF(LEN(GN9)&gt;0,1,0)</formula>
    </cfRule>
    <cfRule type="expression" dxfId="1193" priority="2212">
      <formula>IF(VLOOKUP($GN$3,requiredAttributePTDMap,MATCH($A9,attributeMapFeedProductType,0)+1,FALSE)&gt;0,1,0)</formula>
    </cfRule>
    <cfRule type="expression" dxfId="1192" priority="2213">
      <formula>IF(VLOOKUP($GN$3,optionalAttributePTDMap,MATCH($A9,attributeMapFeedProductType,0)+1,FALSE)&gt;0,1,0)</formula>
    </cfRule>
    <cfRule type="expression" dxfId="1191" priority="2214">
      <formula>IF(VLOOKUP($GN$3,preferredAttributePTDMap,MATCH($A9,attributeMapFeedProductType,0)+1,FALSE)&gt;0,1,0)</formula>
    </cfRule>
    <cfRule type="expression" dxfId="1190" priority="2215">
      <formula>AND(IF(IFERROR(VLOOKUP($GN$3,requiredAttributePTDMap,MATCH($A9,attributeMapFeedProductType,0)+1,FALSE),0)&gt;0,0,1),IF(IFERROR(VLOOKUP($GN$3,optionalAttributePTDMap,MATCH($A9,attributeMapFeedProductType,0)+1,FALSE),0)&gt;0,0,1),IF(IFERROR(VLOOKUP($GN$3,preferredAttributePTDMap,MATCH($A9,attributeMapFeedProductType,0)+1,FALSE),0)&gt;0,0,1),IF(IFERROR(MATCH($A9,attributeMapFeedProductType,0),0)&gt;0,1,0))</formula>
    </cfRule>
  </conditionalFormatting>
  <conditionalFormatting sqref="GO9:GO12">
    <cfRule type="expression" dxfId="1189" priority="2216">
      <formula>IF(LEN(GO9)&gt;0,1,0)</formula>
    </cfRule>
    <cfRule type="expression" dxfId="1188" priority="2217">
      <formula>IF(VLOOKUP($GO$3,requiredAttributePTDMap,MATCH($A9,attributeMapFeedProductType,0)+1,FALSE)&gt;0,1,0)</formula>
    </cfRule>
    <cfRule type="expression" dxfId="1187" priority="2218">
      <formula>IF(VLOOKUP($GO$3,optionalAttributePTDMap,MATCH($A9,attributeMapFeedProductType,0)+1,FALSE)&gt;0,1,0)</formula>
    </cfRule>
    <cfRule type="expression" dxfId="1186" priority="2219">
      <formula>IF(VLOOKUP($GO$3,preferredAttributePTDMap,MATCH($A9,attributeMapFeedProductType,0)+1,FALSE)&gt;0,1,0)</formula>
    </cfRule>
    <cfRule type="expression" dxfId="1185" priority="2220">
      <formula>AND(IF(IFERROR(VLOOKUP($GO$3,requiredAttributePTDMap,MATCH($A9,attributeMapFeedProductType,0)+1,FALSE),0)&gt;0,0,1),IF(IFERROR(VLOOKUP($GO$3,optionalAttributePTDMap,MATCH($A9,attributeMapFeedProductType,0)+1,FALSE),0)&gt;0,0,1),IF(IFERROR(VLOOKUP($GO$3,preferredAttributePTDMap,MATCH($A9,attributeMapFeedProductType,0)+1,FALSE),0)&gt;0,0,1),IF(IFERROR(MATCH($A9,attributeMapFeedProductType,0),0)&gt;0,1,0))</formula>
    </cfRule>
  </conditionalFormatting>
  <conditionalFormatting sqref="GP9:GP12">
    <cfRule type="expression" dxfId="1184" priority="2221">
      <formula>IF(LEN(GP9)&gt;0,1,0)</formula>
    </cfRule>
    <cfRule type="expression" dxfId="1183" priority="2222">
      <formula>IF(VLOOKUP($GP$3,requiredAttributePTDMap,MATCH($A9,attributeMapFeedProductType,0)+1,FALSE)&gt;0,1,0)</formula>
    </cfRule>
    <cfRule type="expression" dxfId="1182" priority="2223">
      <formula>IF(VLOOKUP($GP$3,optionalAttributePTDMap,MATCH($A9,attributeMapFeedProductType,0)+1,FALSE)&gt;0,1,0)</formula>
    </cfRule>
    <cfRule type="expression" dxfId="1181" priority="2224">
      <formula>IF(VLOOKUP($GP$3,preferredAttributePTDMap,MATCH($A9,attributeMapFeedProductType,0)+1,FALSE)&gt;0,1,0)</formula>
    </cfRule>
    <cfRule type="expression" dxfId="1180" priority="2225">
      <formula>AND(IF(IFERROR(VLOOKUP($GP$3,requiredAttributePTDMap,MATCH($A9,attributeMapFeedProductType,0)+1,FALSE),0)&gt;0,0,1),IF(IFERROR(VLOOKUP($GP$3,optionalAttributePTDMap,MATCH($A9,attributeMapFeedProductType,0)+1,FALSE),0)&gt;0,0,1),IF(IFERROR(VLOOKUP($GP$3,preferredAttributePTDMap,MATCH($A9,attributeMapFeedProductType,0)+1,FALSE),0)&gt;0,0,1),IF(IFERROR(MATCH($A9,attributeMapFeedProductType,0),0)&gt;0,1,0))</formula>
    </cfRule>
  </conditionalFormatting>
  <conditionalFormatting sqref="GQ9:GQ12">
    <cfRule type="expression" dxfId="1179" priority="2226">
      <formula>IF(LEN(GQ9)&gt;0,1,0)</formula>
    </cfRule>
    <cfRule type="expression" dxfId="1178" priority="2227">
      <formula>IF(VLOOKUP($GQ$3,requiredAttributePTDMap,MATCH($A9,attributeMapFeedProductType,0)+1,FALSE)&gt;0,1,0)</formula>
    </cfRule>
    <cfRule type="expression" dxfId="1177" priority="2228">
      <formula>IF(VLOOKUP($GQ$3,optionalAttributePTDMap,MATCH($A9,attributeMapFeedProductType,0)+1,FALSE)&gt;0,1,0)</formula>
    </cfRule>
    <cfRule type="expression" dxfId="1176" priority="2229">
      <formula>IF(VLOOKUP($GQ$3,preferredAttributePTDMap,MATCH($A9,attributeMapFeedProductType,0)+1,FALSE)&gt;0,1,0)</formula>
    </cfRule>
    <cfRule type="expression" dxfId="1175" priority="2230">
      <formula>AND(IF(IFERROR(VLOOKUP($GQ$3,requiredAttributePTDMap,MATCH($A9,attributeMapFeedProductType,0)+1,FALSE),0)&gt;0,0,1),IF(IFERROR(VLOOKUP($GQ$3,optionalAttributePTDMap,MATCH($A9,attributeMapFeedProductType,0)+1,FALSE),0)&gt;0,0,1),IF(IFERROR(VLOOKUP($GQ$3,preferredAttributePTDMap,MATCH($A9,attributeMapFeedProductType,0)+1,FALSE),0)&gt;0,0,1),IF(IFERROR(MATCH($A9,attributeMapFeedProductType,0),0)&gt;0,1,0))</formula>
    </cfRule>
  </conditionalFormatting>
  <conditionalFormatting sqref="GR9:GR12">
    <cfRule type="expression" dxfId="1174" priority="2231">
      <formula>IF(LEN(GR9)&gt;0,1,0)</formula>
    </cfRule>
    <cfRule type="expression" dxfId="1173" priority="2232">
      <formula>IF(VLOOKUP($GR$3,requiredAttributePTDMap,MATCH($A9,attributeMapFeedProductType,0)+1,FALSE)&gt;0,1,0)</formula>
    </cfRule>
    <cfRule type="expression" dxfId="1172" priority="2233">
      <formula>IF(VLOOKUP($GR$3,optionalAttributePTDMap,MATCH($A9,attributeMapFeedProductType,0)+1,FALSE)&gt;0,1,0)</formula>
    </cfRule>
    <cfRule type="expression" dxfId="1171" priority="2234">
      <formula>IF(VLOOKUP($GR$3,preferredAttributePTDMap,MATCH($A9,attributeMapFeedProductType,0)+1,FALSE)&gt;0,1,0)</formula>
    </cfRule>
    <cfRule type="expression" dxfId="1170" priority="2235">
      <formula>AND(IF(IFERROR(VLOOKUP($GR$3,requiredAttributePTDMap,MATCH($A9,attributeMapFeedProductType,0)+1,FALSE),0)&gt;0,0,1),IF(IFERROR(VLOOKUP($GR$3,optionalAttributePTDMap,MATCH($A9,attributeMapFeedProductType,0)+1,FALSE),0)&gt;0,0,1),IF(IFERROR(VLOOKUP($GR$3,preferredAttributePTDMap,MATCH($A9,attributeMapFeedProductType,0)+1,FALSE),0)&gt;0,0,1),IF(IFERROR(MATCH($A9,attributeMapFeedProductType,0),0)&gt;0,1,0))</formula>
    </cfRule>
  </conditionalFormatting>
  <conditionalFormatting sqref="GS9:GS12">
    <cfRule type="expression" dxfId="1169" priority="2236">
      <formula>IF(LEN(GS9)&gt;0,1,0)</formula>
    </cfRule>
    <cfRule type="expression" dxfId="1168" priority="2237">
      <formula>IF(VLOOKUP($GS$3,requiredAttributePTDMap,MATCH($A9,attributeMapFeedProductType,0)+1,FALSE)&gt;0,1,0)</formula>
    </cfRule>
    <cfRule type="expression" dxfId="1167" priority="2238">
      <formula>IF(VLOOKUP($GS$3,optionalAttributePTDMap,MATCH($A9,attributeMapFeedProductType,0)+1,FALSE)&gt;0,1,0)</formula>
    </cfRule>
    <cfRule type="expression" dxfId="1166" priority="2239">
      <formula>IF(VLOOKUP($GS$3,preferredAttributePTDMap,MATCH($A9,attributeMapFeedProductType,0)+1,FALSE)&gt;0,1,0)</formula>
    </cfRule>
    <cfRule type="expression" dxfId="1165" priority="2240">
      <formula>AND(IF(IFERROR(VLOOKUP($GS$3,requiredAttributePTDMap,MATCH($A9,attributeMapFeedProductType,0)+1,FALSE),0)&gt;0,0,1),IF(IFERROR(VLOOKUP($GS$3,optionalAttributePTDMap,MATCH($A9,attributeMapFeedProductType,0)+1,FALSE),0)&gt;0,0,1),IF(IFERROR(VLOOKUP($GS$3,preferredAttributePTDMap,MATCH($A9,attributeMapFeedProductType,0)+1,FALSE),0)&gt;0,0,1),IF(IFERROR(MATCH($A9,attributeMapFeedProductType,0),0)&gt;0,1,0))</formula>
    </cfRule>
  </conditionalFormatting>
  <conditionalFormatting sqref="GT9:GT12">
    <cfRule type="expression" dxfId="1164" priority="2241">
      <formula>IF(LEN(GT9)&gt;0,1,0)</formula>
    </cfRule>
    <cfRule type="expression" dxfId="1163" priority="2242">
      <formula>IF(VLOOKUP($GT$3,requiredAttributePTDMap,MATCH($A9,attributeMapFeedProductType,0)+1,FALSE)&gt;0,1,0)</formula>
    </cfRule>
    <cfRule type="expression" dxfId="1162" priority="2243">
      <formula>IF(VLOOKUP($GT$3,optionalAttributePTDMap,MATCH($A9,attributeMapFeedProductType,0)+1,FALSE)&gt;0,1,0)</formula>
    </cfRule>
    <cfRule type="expression" dxfId="1161" priority="2244">
      <formula>IF(VLOOKUP($GT$3,preferredAttributePTDMap,MATCH($A9,attributeMapFeedProductType,0)+1,FALSE)&gt;0,1,0)</formula>
    </cfRule>
    <cfRule type="expression" dxfId="1160" priority="2245">
      <formula>AND(IF(IFERROR(VLOOKUP($GT$3,requiredAttributePTDMap,MATCH($A9,attributeMapFeedProductType,0)+1,FALSE),0)&gt;0,0,1),IF(IFERROR(VLOOKUP($GT$3,optionalAttributePTDMap,MATCH($A9,attributeMapFeedProductType,0)+1,FALSE),0)&gt;0,0,1),IF(IFERROR(VLOOKUP($GT$3,preferredAttributePTDMap,MATCH($A9,attributeMapFeedProductType,0)+1,FALSE),0)&gt;0,0,1),IF(IFERROR(MATCH($A9,attributeMapFeedProductType,0),0)&gt;0,1,0))</formula>
    </cfRule>
  </conditionalFormatting>
  <conditionalFormatting sqref="GU9:GU12">
    <cfRule type="expression" dxfId="1159" priority="2246">
      <formula>IF(LEN(GU9)&gt;0,1,0)</formula>
    </cfRule>
    <cfRule type="expression" dxfId="1158" priority="2247">
      <formula>IF(VLOOKUP($GU$3,requiredAttributePTDMap,MATCH($A9,attributeMapFeedProductType,0)+1,FALSE)&gt;0,1,0)</formula>
    </cfRule>
    <cfRule type="expression" dxfId="1157" priority="2248">
      <formula>IF(VLOOKUP($GU$3,optionalAttributePTDMap,MATCH($A9,attributeMapFeedProductType,0)+1,FALSE)&gt;0,1,0)</formula>
    </cfRule>
    <cfRule type="expression" dxfId="1156" priority="2249">
      <formula>IF(VLOOKUP($GU$3,preferredAttributePTDMap,MATCH($A9,attributeMapFeedProductType,0)+1,FALSE)&gt;0,1,0)</formula>
    </cfRule>
    <cfRule type="expression" dxfId="1155" priority="2250">
      <formula>AND(IF(IFERROR(VLOOKUP($GU$3,requiredAttributePTDMap,MATCH($A9,attributeMapFeedProductType,0)+1,FALSE),0)&gt;0,0,1),IF(IFERROR(VLOOKUP($GU$3,optionalAttributePTDMap,MATCH($A9,attributeMapFeedProductType,0)+1,FALSE),0)&gt;0,0,1),IF(IFERROR(VLOOKUP($GU$3,preferredAttributePTDMap,MATCH($A9,attributeMapFeedProductType,0)+1,FALSE),0)&gt;0,0,1),IF(IFERROR(MATCH($A9,attributeMapFeedProductType,0),0)&gt;0,1,0))</formula>
    </cfRule>
  </conditionalFormatting>
  <conditionalFormatting sqref="GV9:GV12">
    <cfRule type="expression" dxfId="1154" priority="2251">
      <formula>IF(LEN(GV9)&gt;0,1,0)</formula>
    </cfRule>
    <cfRule type="expression" dxfId="1153" priority="2252">
      <formula>IF(VLOOKUP($GV$3,requiredAttributePTDMap,MATCH($A9,attributeMapFeedProductType,0)+1,FALSE)&gt;0,1,0)</formula>
    </cfRule>
    <cfRule type="expression" dxfId="1152" priority="2253">
      <formula>IF(VLOOKUP($GV$3,optionalAttributePTDMap,MATCH($A9,attributeMapFeedProductType,0)+1,FALSE)&gt;0,1,0)</formula>
    </cfRule>
    <cfRule type="expression" dxfId="1151" priority="2254">
      <formula>IF(VLOOKUP($GV$3,preferredAttributePTDMap,MATCH($A9,attributeMapFeedProductType,0)+1,FALSE)&gt;0,1,0)</formula>
    </cfRule>
    <cfRule type="expression" dxfId="1150" priority="2255">
      <formula>AND(IF(IFERROR(VLOOKUP($GV$3,requiredAttributePTDMap,MATCH($A9,attributeMapFeedProductType,0)+1,FALSE),0)&gt;0,0,1),IF(IFERROR(VLOOKUP($GV$3,optionalAttributePTDMap,MATCH($A9,attributeMapFeedProductType,0)+1,FALSE),0)&gt;0,0,1),IF(IFERROR(VLOOKUP($GV$3,preferredAttributePTDMap,MATCH($A9,attributeMapFeedProductType,0)+1,FALSE),0)&gt;0,0,1),IF(IFERROR(MATCH($A9,attributeMapFeedProductType,0),0)&gt;0,1,0))</formula>
    </cfRule>
  </conditionalFormatting>
  <conditionalFormatting sqref="GW9:GW12">
    <cfRule type="expression" dxfId="1149" priority="2256">
      <formula>IF(LEN(GW9)&gt;0,1,0)</formula>
    </cfRule>
    <cfRule type="expression" dxfId="1148" priority="2257">
      <formula>IF(VLOOKUP($GW$3,requiredAttributePTDMap,MATCH($A9,attributeMapFeedProductType,0)+1,FALSE)&gt;0,1,0)</formula>
    </cfRule>
    <cfRule type="expression" dxfId="1147" priority="2258">
      <formula>IF(VLOOKUP($GW$3,optionalAttributePTDMap,MATCH($A9,attributeMapFeedProductType,0)+1,FALSE)&gt;0,1,0)</formula>
    </cfRule>
    <cfRule type="expression" dxfId="1146" priority="2259">
      <formula>IF(VLOOKUP($GW$3,preferredAttributePTDMap,MATCH($A9,attributeMapFeedProductType,0)+1,FALSE)&gt;0,1,0)</formula>
    </cfRule>
    <cfRule type="expression" dxfId="1145" priority="2260">
      <formula>AND(IF(IFERROR(VLOOKUP($GW$3,requiredAttributePTDMap,MATCH($A9,attributeMapFeedProductType,0)+1,FALSE),0)&gt;0,0,1),IF(IFERROR(VLOOKUP($GW$3,optionalAttributePTDMap,MATCH($A9,attributeMapFeedProductType,0)+1,FALSE),0)&gt;0,0,1),IF(IFERROR(VLOOKUP($GW$3,preferredAttributePTDMap,MATCH($A9,attributeMapFeedProductType,0)+1,FALSE),0)&gt;0,0,1),IF(IFERROR(MATCH($A9,attributeMapFeedProductType,0),0)&gt;0,1,0))</formula>
    </cfRule>
  </conditionalFormatting>
  <conditionalFormatting sqref="E9">
    <cfRule type="expression" dxfId="1144" priority="1171">
      <formula>IF(LEN(E9)&gt;0,1,0)</formula>
    </cfRule>
    <cfRule type="expression" dxfId="1143" priority="1172">
      <formula>IF(VLOOKUP($C$3,requiredAttributePTDMap,MATCH($A9,attributeMapFeedProductType,0)+1,FALSE)&gt;0,1,0)</formula>
    </cfRule>
    <cfRule type="expression" dxfId="1142" priority="1173">
      <formula>IF(VLOOKUP($C$3,optionalAttributePTDMap,MATCH($A9,attributeMapFeedProductType,0)+1,FALSE)&gt;0,1,0)</formula>
    </cfRule>
    <cfRule type="expression" dxfId="1141" priority="1174">
      <formula>IF(VLOOKUP($C$3,preferredAttributePTDMap,MATCH($A9,attributeMapFeedProductType,0)+1,FALSE)&gt;0,1,0)</formula>
    </cfRule>
    <cfRule type="expression" dxfId="1140" priority="1175">
      <formula>AND(IF(IFERROR(VLOOKUP($C$3,requiredAttributePTDMap,MATCH($A9,attributeMapFeedProductType,0)+1,FALSE),0)&gt;0,0,1),IF(IFERROR(VLOOKUP($C$3,optionalAttributePTDMap,MATCH($A9,attributeMapFeedProductType,0)+1,FALSE),0)&gt;0,0,1),IF(IFERROR(VLOOKUP($C$3,preferredAttributePTDMap,MATCH($A9,attributeMapFeedProductType,0)+1,FALSE),0)&gt;0,0,1),IF(IFERROR(MATCH($A9,attributeMapFeedProductType,0),0)&gt;0,1,0))</formula>
    </cfRule>
  </conditionalFormatting>
  <conditionalFormatting sqref="E11">
    <cfRule type="expression" dxfId="1139" priority="1166">
      <formula>IF(LEN(E11)&gt;0,1,0)</formula>
    </cfRule>
    <cfRule type="expression" dxfId="1138" priority="1167">
      <formula>IF(VLOOKUP($C$3,requiredAttributePTDMap,MATCH($A11,attributeMapFeedProductType,0)+1,FALSE)&gt;0,1,0)</formula>
    </cfRule>
    <cfRule type="expression" dxfId="1137" priority="1168">
      <formula>IF(VLOOKUP($C$3,optionalAttributePTDMap,MATCH($A11,attributeMapFeedProductType,0)+1,FALSE)&gt;0,1,0)</formula>
    </cfRule>
    <cfRule type="expression" dxfId="1136" priority="1169">
      <formula>IF(VLOOKUP($C$3,preferredAttributePTDMap,MATCH($A11,attributeMapFeedProductType,0)+1,FALSE)&gt;0,1,0)</formula>
    </cfRule>
    <cfRule type="expression" dxfId="1135" priority="1170">
      <formula>AND(IF(IFERROR(VLOOKUP($C$3,requiredAttributePTDMap,MATCH($A11,attributeMapFeedProductType,0)+1,FALSE),0)&gt;0,0,1),IF(IFERROR(VLOOKUP($C$3,optionalAttributePTDMap,MATCH($A11,attributeMapFeedProductType,0)+1,FALSE),0)&gt;0,0,1),IF(IFERROR(VLOOKUP($C$3,preferredAttributePTDMap,MATCH($A11,attributeMapFeedProductType,0)+1,FALSE),0)&gt;0,0,1),IF(IFERROR(MATCH($A11,attributeMapFeedProductType,0),0)&gt;0,1,0))</formula>
    </cfRule>
  </conditionalFormatting>
  <conditionalFormatting sqref="E10">
    <cfRule type="expression" dxfId="1134" priority="1161">
      <formula>IF(LEN(E10)&gt;0,1,0)</formula>
    </cfRule>
    <cfRule type="expression" dxfId="1133" priority="1162">
      <formula>IF(VLOOKUP($C$3,requiredAttributePTDMap,MATCH($A10,attributeMapFeedProductType,0)+1,FALSE)&gt;0,1,0)</formula>
    </cfRule>
    <cfRule type="expression" dxfId="1132" priority="1163">
      <formula>IF(VLOOKUP($C$3,optionalAttributePTDMap,MATCH($A10,attributeMapFeedProductType,0)+1,FALSE)&gt;0,1,0)</formula>
    </cfRule>
    <cfRule type="expression" dxfId="1131" priority="1164">
      <formula>IF(VLOOKUP($C$3,preferredAttributePTDMap,MATCH($A10,attributeMapFeedProductType,0)+1,FALSE)&gt;0,1,0)</formula>
    </cfRule>
    <cfRule type="expression" dxfId="1130" priority="1165">
      <formula>AND(IF(IFERROR(VLOOKUP($C$3,requiredAttributePTDMap,MATCH($A10,attributeMapFeedProductType,0)+1,FALSE),0)&gt;0,0,1),IF(IFERROR(VLOOKUP($C$3,optionalAttributePTDMap,MATCH($A10,attributeMapFeedProductType,0)+1,FALSE),0)&gt;0,0,1),IF(IFERROR(VLOOKUP($C$3,preferredAttributePTDMap,MATCH($A10,attributeMapFeedProductType,0)+1,FALSE),0)&gt;0,0,1),IF(IFERROR(MATCH($A10,attributeMapFeedProductType,0),0)&gt;0,1,0))</formula>
    </cfRule>
  </conditionalFormatting>
  <conditionalFormatting sqref="E12">
    <cfRule type="expression" dxfId="1129" priority="1156">
      <formula>IF(LEN(E12)&gt;0,1,0)</formula>
    </cfRule>
    <cfRule type="expression" dxfId="1128" priority="1157">
      <formula>IF(VLOOKUP($C$3,requiredAttributePTDMap,MATCH($A12,attributeMapFeedProductType,0)+1,FALSE)&gt;0,1,0)</formula>
    </cfRule>
    <cfRule type="expression" dxfId="1127" priority="1158">
      <formula>IF(VLOOKUP($C$3,optionalAttributePTDMap,MATCH($A12,attributeMapFeedProductType,0)+1,FALSE)&gt;0,1,0)</formula>
    </cfRule>
    <cfRule type="expression" dxfId="1126" priority="1159">
      <formula>IF(VLOOKUP($C$3,preferredAttributePTDMap,MATCH($A12,attributeMapFeedProductType,0)+1,FALSE)&gt;0,1,0)</formula>
    </cfRule>
    <cfRule type="expression" dxfId="1125" priority="1160">
      <formula>AND(IF(IFERROR(VLOOKUP($C$3,requiredAttributePTDMap,MATCH($A12,attributeMapFeedProductType,0)+1,FALSE),0)&gt;0,0,1),IF(IFERROR(VLOOKUP($C$3,optionalAttributePTDMap,MATCH($A12,attributeMapFeedProductType,0)+1,FALSE),0)&gt;0,0,1),IF(IFERROR(VLOOKUP($C$3,preferredAttributePTDMap,MATCH($A12,attributeMapFeedProductType,0)+1,FALSE),0)&gt;0,0,1),IF(IFERROR(MATCH($A12,attributeMapFeedProductType,0),0)&gt;0,1,0))</formula>
    </cfRule>
  </conditionalFormatting>
  <conditionalFormatting sqref="CH14:CH17">
    <cfRule type="expression" dxfId="1124" priority="61">
      <formula>IF($T14&lt;&gt;"Parent",0,1)</formula>
    </cfRule>
    <cfRule type="expression" dxfId="1123" priority="467">
      <formula>IF(LEN(CH14)&gt;0,1,0)</formula>
    </cfRule>
    <cfRule type="expression" dxfId="1122" priority="468">
      <formula>IF(VLOOKUP($CH$3,requiredAttributePTDMap,MATCH($A14,attributeMapFeedProductType,0)+1,FALSE)&gt;0,1,0)</formula>
    </cfRule>
    <cfRule type="expression" dxfId="1121" priority="469">
      <formula>IF(VLOOKUP($CH$3,optionalAttributePTDMap,MATCH($A14,attributeMapFeedProductType,0)+1,FALSE)&gt;0,1,0)</formula>
    </cfRule>
    <cfRule type="expression" dxfId="1120" priority="470">
      <formula>IF(VLOOKUP($CH$3,preferredAttributePTDMap,MATCH($A14,attributeMapFeedProductType,0)+1,FALSE)&gt;0,1,0)</formula>
    </cfRule>
    <cfRule type="expression" dxfId="1119" priority="471">
      <formula>AND(IF(IFERROR(VLOOKUP($CH$3,requiredAttributePTDMap,MATCH($A14,attributeMapFeedProductType,0)+1,FALSE),0)&gt;0,0,1),IF(IFERROR(VLOOKUP($CH$3,optionalAttributePTDMap,MATCH($A14,attributeMapFeedProductType,0)+1,FALSE),0)&gt;0,0,1),IF(IFERROR(VLOOKUP($CH$3,preferredAttributePTDMap,MATCH($A14,attributeMapFeedProductType,0)+1,FALSE),0)&gt;0,0,1),IF(IFERROR(MATCH($A14,attributeMapFeedProductType,0),0)&gt;0,1,0))</formula>
    </cfRule>
  </conditionalFormatting>
  <conditionalFormatting sqref="C14:C17">
    <cfRule type="expression" dxfId="1118" priority="67">
      <formula>IF(LEN(C14)&gt;0,1,0)</formula>
    </cfRule>
    <cfRule type="expression" dxfId="1117" priority="68">
      <formula>IF(VLOOKUP($C$3,requiredAttributePTDMap,MATCH($A14,attributeMapFeedProductType,0)+1,FALSE)&gt;0,1,0)</formula>
    </cfRule>
    <cfRule type="expression" dxfId="1116" priority="69">
      <formula>IF(VLOOKUP($C$3,optionalAttributePTDMap,MATCH($A14,attributeMapFeedProductType,0)+1,FALSE)&gt;0,1,0)</formula>
    </cfRule>
    <cfRule type="expression" dxfId="1115" priority="70">
      <formula>IF(VLOOKUP($C$3,preferredAttributePTDMap,MATCH($A14,attributeMapFeedProductType,0)+1,FALSE)&gt;0,1,0)</formula>
    </cfRule>
    <cfRule type="expression" dxfId="1114" priority="71">
      <formula>AND(IF(IFERROR(VLOOKUP($C$3,requiredAttributePTDMap,MATCH($A14,attributeMapFeedProductType,0)+1,FALSE),0)&gt;0,0,1),IF(IFERROR(VLOOKUP($C$3,optionalAttributePTDMap,MATCH($A14,attributeMapFeedProductType,0)+1,FALSE),0)&gt;0,0,1),IF(IFERROR(VLOOKUP($C$3,preferredAttributePTDMap,MATCH($A14,attributeMapFeedProductType,0)+1,FALSE),0)&gt;0,0,1),IF(IFERROR(MATCH($A14,attributeMapFeedProductType,0),0)&gt;0,1,0))</formula>
    </cfRule>
  </conditionalFormatting>
  <conditionalFormatting sqref="F14:F17">
    <cfRule type="expression" dxfId="1113" priority="77">
      <formula>IF(LEN(F14)&gt;0,1,0)</formula>
    </cfRule>
    <cfRule type="expression" dxfId="1112" priority="78">
      <formula>IF(VLOOKUP($F$3,requiredAttributePTDMap,MATCH($A14,attributeMapFeedProductType,0)+1,FALSE)&gt;0,1,0)</formula>
    </cfRule>
    <cfRule type="expression" dxfId="1111" priority="79">
      <formula>IF(VLOOKUP($F$3,optionalAttributePTDMap,MATCH($A14,attributeMapFeedProductType,0)+1,FALSE)&gt;0,1,0)</formula>
    </cfRule>
    <cfRule type="expression" dxfId="1110" priority="80">
      <formula>IF(VLOOKUP($F$3,preferredAttributePTDMap,MATCH($A14,attributeMapFeedProductType,0)+1,FALSE)&gt;0,1,0)</formula>
    </cfRule>
    <cfRule type="expression" dxfId="1109" priority="81">
      <formula>AND(IF(IFERROR(VLOOKUP($F$3,requiredAttributePTDMap,MATCH($A14,attributeMapFeedProductType,0)+1,FALSE),0)&gt;0,0,1),IF(IFERROR(VLOOKUP($F$3,optionalAttributePTDMap,MATCH($A14,attributeMapFeedProductType,0)+1,FALSE),0)&gt;0,0,1),IF(IFERROR(VLOOKUP($F$3,preferredAttributePTDMap,MATCH($A14,attributeMapFeedProductType,0)+1,FALSE),0)&gt;0,0,1),IF(IFERROR(MATCH($A14,attributeMapFeedProductType,0),0)&gt;0,1,0))</formula>
    </cfRule>
  </conditionalFormatting>
  <conditionalFormatting sqref="G14:G17">
    <cfRule type="expression" dxfId="1108" priority="82">
      <formula>IF(LEN(G14)&gt;0,1,0)</formula>
    </cfRule>
    <cfRule type="expression" dxfId="1107" priority="83">
      <formula>IF(VLOOKUP($G$3,requiredAttributePTDMap,MATCH($A14,attributeMapFeedProductType,0)+1,FALSE)&gt;0,1,0)</formula>
    </cfRule>
    <cfRule type="expression" dxfId="1106" priority="84">
      <formula>IF(VLOOKUP($G$3,optionalAttributePTDMap,MATCH($A14,attributeMapFeedProductType,0)+1,FALSE)&gt;0,1,0)</formula>
    </cfRule>
    <cfRule type="expression" dxfId="1105" priority="85">
      <formula>IF(VLOOKUP($G$3,preferredAttributePTDMap,MATCH($A14,attributeMapFeedProductType,0)+1,FALSE)&gt;0,1,0)</formula>
    </cfRule>
    <cfRule type="expression" dxfId="1104" priority="86">
      <formula>AND(IF(IFERROR(VLOOKUP($G$3,requiredAttributePTDMap,MATCH($A14,attributeMapFeedProductType,0)+1,FALSE),0)&gt;0,0,1),IF(IFERROR(VLOOKUP($G$3,optionalAttributePTDMap,MATCH($A14,attributeMapFeedProductType,0)+1,FALSE),0)&gt;0,0,1),IF(IFERROR(VLOOKUP($G$3,preferredAttributePTDMap,MATCH($A14,attributeMapFeedProductType,0)+1,FALSE),0)&gt;0,0,1),IF(IFERROR(MATCH($A14,attributeMapFeedProductType,0),0)&gt;0,1,0))</formula>
    </cfRule>
  </conditionalFormatting>
  <conditionalFormatting sqref="H14:H17">
    <cfRule type="expression" dxfId="1103" priority="87">
      <formula>IF(LEN(H14)&gt;0,1,0)</formula>
    </cfRule>
    <cfRule type="expression" dxfId="1102" priority="88">
      <formula>IF(VLOOKUP($H$3,requiredAttributePTDMap,MATCH($A14,attributeMapFeedProductType,0)+1,FALSE)&gt;0,1,0)</formula>
    </cfRule>
    <cfRule type="expression" dxfId="1101" priority="89">
      <formula>IF(VLOOKUP($H$3,optionalAttributePTDMap,MATCH($A14,attributeMapFeedProductType,0)+1,FALSE)&gt;0,1,0)</formula>
    </cfRule>
    <cfRule type="expression" dxfId="1100" priority="90">
      <formula>IF(VLOOKUP($H$3,preferredAttributePTDMap,MATCH($A14,attributeMapFeedProductType,0)+1,FALSE)&gt;0,1,0)</formula>
    </cfRule>
    <cfRule type="expression" dxfId="1099" priority="91">
      <formula>AND(IF(IFERROR(VLOOKUP($H$3,requiredAttributePTDMap,MATCH($A14,attributeMapFeedProductType,0)+1,FALSE),0)&gt;0,0,1),IF(IFERROR(VLOOKUP($H$3,optionalAttributePTDMap,MATCH($A14,attributeMapFeedProductType,0)+1,FALSE),0)&gt;0,0,1),IF(IFERROR(VLOOKUP($H$3,preferredAttributePTDMap,MATCH($A14,attributeMapFeedProductType,0)+1,FALSE),0)&gt;0,0,1),IF(IFERROR(MATCH($A14,attributeMapFeedProductType,0),0)&gt;0,1,0))</formula>
    </cfRule>
  </conditionalFormatting>
  <conditionalFormatting sqref="I14:I17">
    <cfRule type="expression" dxfId="1098" priority="92">
      <formula>IF(LEN(I14)&gt;0,1,0)</formula>
    </cfRule>
    <cfRule type="expression" dxfId="1097" priority="93">
      <formula>IF(VLOOKUP($I$3,requiredAttributePTDMap,MATCH($A14,attributeMapFeedProductType,0)+1,FALSE)&gt;0,1,0)</formula>
    </cfRule>
    <cfRule type="expression" dxfId="1096" priority="94">
      <formula>IF(VLOOKUP($I$3,optionalAttributePTDMap,MATCH($A14,attributeMapFeedProductType,0)+1,FALSE)&gt;0,1,0)</formula>
    </cfRule>
    <cfRule type="expression" dxfId="1095" priority="95">
      <formula>IF(VLOOKUP($I$3,preferredAttributePTDMap,MATCH($A14,attributeMapFeedProductType,0)+1,FALSE)&gt;0,1,0)</formula>
    </cfRule>
    <cfRule type="expression" dxfId="1094" priority="96">
      <formula>AND(IF(IFERROR(VLOOKUP($I$3,requiredAttributePTDMap,MATCH($A14,attributeMapFeedProductType,0)+1,FALSE),0)&gt;0,0,1),IF(IFERROR(VLOOKUP($I$3,optionalAttributePTDMap,MATCH($A14,attributeMapFeedProductType,0)+1,FALSE),0)&gt;0,0,1),IF(IFERROR(VLOOKUP($I$3,preferredAttributePTDMap,MATCH($A14,attributeMapFeedProductType,0)+1,FALSE),0)&gt;0,0,1),IF(IFERROR(MATCH($A14,attributeMapFeedProductType,0),0)&gt;0,1,0))</formula>
    </cfRule>
  </conditionalFormatting>
  <conditionalFormatting sqref="J14:J17">
    <cfRule type="expression" dxfId="1093" priority="97">
      <formula>IF(LEN(J14)&gt;0,1,0)</formula>
    </cfRule>
    <cfRule type="expression" dxfId="1092" priority="98">
      <formula>IF(VLOOKUP($J$3,requiredAttributePTDMap,MATCH($A14,attributeMapFeedProductType,0)+1,FALSE)&gt;0,1,0)</formula>
    </cfRule>
    <cfRule type="expression" dxfId="1091" priority="99">
      <formula>IF(VLOOKUP($J$3,optionalAttributePTDMap,MATCH($A14,attributeMapFeedProductType,0)+1,FALSE)&gt;0,1,0)</formula>
    </cfRule>
    <cfRule type="expression" dxfId="1090" priority="100">
      <formula>IF(VLOOKUP($J$3,preferredAttributePTDMap,MATCH($A14,attributeMapFeedProductType,0)+1,FALSE)&gt;0,1,0)</formula>
    </cfRule>
    <cfRule type="expression" dxfId="1089" priority="101">
      <formula>AND(IF(IFERROR(VLOOKUP($J$3,requiredAttributePTDMap,MATCH($A14,attributeMapFeedProductType,0)+1,FALSE),0)&gt;0,0,1),IF(IFERROR(VLOOKUP($J$3,optionalAttributePTDMap,MATCH($A14,attributeMapFeedProductType,0)+1,FALSE),0)&gt;0,0,1),IF(IFERROR(VLOOKUP($J$3,preferredAttributePTDMap,MATCH($A14,attributeMapFeedProductType,0)+1,FALSE),0)&gt;0,0,1),IF(IFERROR(MATCH($A14,attributeMapFeedProductType,0),0)&gt;0,1,0))</formula>
    </cfRule>
  </conditionalFormatting>
  <conditionalFormatting sqref="K14:K17">
    <cfRule type="expression" dxfId="1088" priority="102">
      <formula>IF(LEN(K14)&gt;0,1,0)</formula>
    </cfRule>
    <cfRule type="expression" dxfId="1087" priority="103">
      <formula>IF(VLOOKUP($K$3,requiredAttributePTDMap,MATCH($A14,attributeMapFeedProductType,0)+1,FALSE)&gt;0,1,0)</formula>
    </cfRule>
    <cfRule type="expression" dxfId="1086" priority="104">
      <formula>IF(VLOOKUP($K$3,optionalAttributePTDMap,MATCH($A14,attributeMapFeedProductType,0)+1,FALSE)&gt;0,1,0)</formula>
    </cfRule>
    <cfRule type="expression" dxfId="1085" priority="105">
      <formula>IF(VLOOKUP($K$3,preferredAttributePTDMap,MATCH($A14,attributeMapFeedProductType,0)+1,FALSE)&gt;0,1,0)</formula>
    </cfRule>
    <cfRule type="expression" dxfId="1084" priority="106">
      <formula>AND(IF(IFERROR(VLOOKUP($K$3,requiredAttributePTDMap,MATCH($A14,attributeMapFeedProductType,0)+1,FALSE),0)&gt;0,0,1),IF(IFERROR(VLOOKUP($K$3,optionalAttributePTDMap,MATCH($A14,attributeMapFeedProductType,0)+1,FALSE),0)&gt;0,0,1),IF(IFERROR(VLOOKUP($K$3,preferredAttributePTDMap,MATCH($A14,attributeMapFeedProductType,0)+1,FALSE),0)&gt;0,0,1),IF(IFERROR(MATCH($A14,attributeMapFeedProductType,0),0)&gt;0,1,0))</formula>
    </cfRule>
  </conditionalFormatting>
  <conditionalFormatting sqref="L14:L17">
    <cfRule type="expression" dxfId="1083" priority="107">
      <formula>IF(LEN(L14)&gt;0,1,0)</formula>
    </cfRule>
    <cfRule type="expression" dxfId="1082" priority="108">
      <formula>IF(VLOOKUP($L$3,requiredAttributePTDMap,MATCH($A14,attributeMapFeedProductType,0)+1,FALSE)&gt;0,1,0)</formula>
    </cfRule>
    <cfRule type="expression" dxfId="1081" priority="109">
      <formula>IF(VLOOKUP($L$3,optionalAttributePTDMap,MATCH($A14,attributeMapFeedProductType,0)+1,FALSE)&gt;0,1,0)</formula>
    </cfRule>
    <cfRule type="expression" dxfId="1080" priority="110">
      <formula>IF(VLOOKUP($L$3,preferredAttributePTDMap,MATCH($A14,attributeMapFeedProductType,0)+1,FALSE)&gt;0,1,0)</formula>
    </cfRule>
    <cfRule type="expression" dxfId="1079" priority="111">
      <formula>AND(IF(IFERROR(VLOOKUP($L$3,requiredAttributePTDMap,MATCH($A14,attributeMapFeedProductType,0)+1,FALSE),0)&gt;0,0,1),IF(IFERROR(VLOOKUP($L$3,optionalAttributePTDMap,MATCH($A14,attributeMapFeedProductType,0)+1,FALSE),0)&gt;0,0,1),IF(IFERROR(VLOOKUP($L$3,preferredAttributePTDMap,MATCH($A14,attributeMapFeedProductType,0)+1,FALSE),0)&gt;0,0,1),IF(IFERROR(MATCH($A14,attributeMapFeedProductType,0),0)&gt;0,1,0))</formula>
    </cfRule>
  </conditionalFormatting>
  <conditionalFormatting sqref="M14:M17">
    <cfRule type="expression" dxfId="1078" priority="112">
      <formula>IF(LEN(M14)&gt;0,1,0)</formula>
    </cfRule>
    <cfRule type="expression" dxfId="1077" priority="113">
      <formula>IF(VLOOKUP($M$3,requiredAttributePTDMap,MATCH($A14,attributeMapFeedProductType,0)+1,FALSE)&gt;0,1,0)</formula>
    </cfRule>
    <cfRule type="expression" dxfId="1076" priority="114">
      <formula>IF(VLOOKUP($M$3,optionalAttributePTDMap,MATCH($A14,attributeMapFeedProductType,0)+1,FALSE)&gt;0,1,0)</formula>
    </cfRule>
    <cfRule type="expression" dxfId="1075" priority="115">
      <formula>IF(VLOOKUP($M$3,preferredAttributePTDMap,MATCH($A14,attributeMapFeedProductType,0)+1,FALSE)&gt;0,1,0)</formula>
    </cfRule>
    <cfRule type="expression" dxfId="1074" priority="116">
      <formula>AND(IF(IFERROR(VLOOKUP($M$3,requiredAttributePTDMap,MATCH($A14,attributeMapFeedProductType,0)+1,FALSE),0)&gt;0,0,1),IF(IFERROR(VLOOKUP($M$3,optionalAttributePTDMap,MATCH($A14,attributeMapFeedProductType,0)+1,FALSE),0)&gt;0,0,1),IF(IFERROR(VLOOKUP($M$3,preferredAttributePTDMap,MATCH($A14,attributeMapFeedProductType,0)+1,FALSE),0)&gt;0,0,1),IF(IFERROR(MATCH($A14,attributeMapFeedProductType,0),0)&gt;0,1,0))</formula>
    </cfRule>
  </conditionalFormatting>
  <conditionalFormatting sqref="N14:N17">
    <cfRule type="expression" dxfId="1073" priority="117">
      <formula>IF(LEN(N14)&gt;0,1,0)</formula>
    </cfRule>
    <cfRule type="expression" dxfId="1072" priority="118">
      <formula>IF(VLOOKUP($N$3,requiredAttributePTDMap,MATCH($A14,attributeMapFeedProductType,0)+1,FALSE)&gt;0,1,0)</formula>
    </cfRule>
    <cfRule type="expression" dxfId="1071" priority="119">
      <formula>IF(VLOOKUP($N$3,optionalAttributePTDMap,MATCH($A14,attributeMapFeedProductType,0)+1,FALSE)&gt;0,1,0)</formula>
    </cfRule>
    <cfRule type="expression" dxfId="1070" priority="120">
      <formula>IF(VLOOKUP($N$3,preferredAttributePTDMap,MATCH($A14,attributeMapFeedProductType,0)+1,FALSE)&gt;0,1,0)</formula>
    </cfRule>
    <cfRule type="expression" dxfId="1069" priority="121">
      <formula>AND(IF(IFERROR(VLOOKUP($N$3,requiredAttributePTDMap,MATCH($A14,attributeMapFeedProductType,0)+1,FALSE),0)&gt;0,0,1),IF(IFERROR(VLOOKUP($N$3,optionalAttributePTDMap,MATCH($A14,attributeMapFeedProductType,0)+1,FALSE),0)&gt;0,0,1),IF(IFERROR(VLOOKUP($N$3,preferredAttributePTDMap,MATCH($A14,attributeMapFeedProductType,0)+1,FALSE),0)&gt;0,0,1),IF(IFERROR(MATCH($A14,attributeMapFeedProductType,0),0)&gt;0,1,0))</formula>
    </cfRule>
  </conditionalFormatting>
  <conditionalFormatting sqref="O14:O17">
    <cfRule type="expression" dxfId="1068" priority="122">
      <formula>IF(LEN(O14)&gt;0,1,0)</formula>
    </cfRule>
    <cfRule type="expression" dxfId="1067" priority="123">
      <formula>IF(VLOOKUP($O$3,requiredAttributePTDMap,MATCH($A14,attributeMapFeedProductType,0)+1,FALSE)&gt;0,1,0)</formula>
    </cfRule>
    <cfRule type="expression" dxfId="1066" priority="124">
      <formula>IF(VLOOKUP($O$3,optionalAttributePTDMap,MATCH($A14,attributeMapFeedProductType,0)+1,FALSE)&gt;0,1,0)</formula>
    </cfRule>
    <cfRule type="expression" dxfId="1065" priority="125">
      <formula>IF(VLOOKUP($O$3,preferredAttributePTDMap,MATCH($A14,attributeMapFeedProductType,0)+1,FALSE)&gt;0,1,0)</formula>
    </cfRule>
    <cfRule type="expression" dxfId="1064" priority="126">
      <formula>AND(IF(IFERROR(VLOOKUP($O$3,requiredAttributePTDMap,MATCH($A14,attributeMapFeedProductType,0)+1,FALSE),0)&gt;0,0,1),IF(IFERROR(VLOOKUP($O$3,optionalAttributePTDMap,MATCH($A14,attributeMapFeedProductType,0)+1,FALSE),0)&gt;0,0,1),IF(IFERROR(VLOOKUP($O$3,preferredAttributePTDMap,MATCH($A14,attributeMapFeedProductType,0)+1,FALSE),0)&gt;0,0,1),IF(IFERROR(MATCH($A14,attributeMapFeedProductType,0),0)&gt;0,1,0))</formula>
    </cfRule>
  </conditionalFormatting>
  <conditionalFormatting sqref="P14:P17">
    <cfRule type="expression" dxfId="1063" priority="127">
      <formula>IF(LEN(P14)&gt;0,1,0)</formula>
    </cfRule>
    <cfRule type="expression" dxfId="1062" priority="128">
      <formula>IF(VLOOKUP($P$3,requiredAttributePTDMap,MATCH($A14,attributeMapFeedProductType,0)+1,FALSE)&gt;0,1,0)</formula>
    </cfRule>
    <cfRule type="expression" dxfId="1061" priority="129">
      <formula>IF(VLOOKUP($P$3,optionalAttributePTDMap,MATCH($A14,attributeMapFeedProductType,0)+1,FALSE)&gt;0,1,0)</formula>
    </cfRule>
    <cfRule type="expression" dxfId="1060" priority="130">
      <formula>IF(VLOOKUP($P$3,preferredAttributePTDMap,MATCH($A14,attributeMapFeedProductType,0)+1,FALSE)&gt;0,1,0)</formula>
    </cfRule>
    <cfRule type="expression" dxfId="1059" priority="131">
      <formula>AND(IF(IFERROR(VLOOKUP($P$3,requiredAttributePTDMap,MATCH($A14,attributeMapFeedProductType,0)+1,FALSE),0)&gt;0,0,1),IF(IFERROR(VLOOKUP($P$3,optionalAttributePTDMap,MATCH($A14,attributeMapFeedProductType,0)+1,FALSE),0)&gt;0,0,1),IF(IFERROR(VLOOKUP($P$3,preferredAttributePTDMap,MATCH($A14,attributeMapFeedProductType,0)+1,FALSE),0)&gt;0,0,1),IF(IFERROR(MATCH($A14,attributeMapFeedProductType,0),0)&gt;0,1,0))</formula>
    </cfRule>
  </conditionalFormatting>
  <conditionalFormatting sqref="Q14:Q17">
    <cfRule type="expression" dxfId="1058" priority="132">
      <formula>IF(LEN(Q14)&gt;0,1,0)</formula>
    </cfRule>
    <cfRule type="expression" dxfId="1057" priority="133">
      <formula>IF(VLOOKUP($Q$3,requiredAttributePTDMap,MATCH($A14,attributeMapFeedProductType,0)+1,FALSE)&gt;0,1,0)</formula>
    </cfRule>
    <cfRule type="expression" dxfId="1056" priority="134">
      <formula>IF(VLOOKUP($Q$3,optionalAttributePTDMap,MATCH($A14,attributeMapFeedProductType,0)+1,FALSE)&gt;0,1,0)</formula>
    </cfRule>
    <cfRule type="expression" dxfId="1055" priority="135">
      <formula>IF(VLOOKUP($Q$3,preferredAttributePTDMap,MATCH($A14,attributeMapFeedProductType,0)+1,FALSE)&gt;0,1,0)</formula>
    </cfRule>
    <cfRule type="expression" dxfId="1054" priority="136">
      <formula>AND(IF(IFERROR(VLOOKUP($Q$3,requiredAttributePTDMap,MATCH($A14,attributeMapFeedProductType,0)+1,FALSE),0)&gt;0,0,1),IF(IFERROR(VLOOKUP($Q$3,optionalAttributePTDMap,MATCH($A14,attributeMapFeedProductType,0)+1,FALSE),0)&gt;0,0,1),IF(IFERROR(VLOOKUP($Q$3,preferredAttributePTDMap,MATCH($A14,attributeMapFeedProductType,0)+1,FALSE),0)&gt;0,0,1),IF(IFERROR(MATCH($A14,attributeMapFeedProductType,0),0)&gt;0,1,0))</formula>
    </cfRule>
  </conditionalFormatting>
  <conditionalFormatting sqref="R14:R17">
    <cfRule type="expression" dxfId="1053" priority="137">
      <formula>IF(LEN(R14)&gt;0,1,0)</formula>
    </cfRule>
    <cfRule type="expression" dxfId="1052" priority="138">
      <formula>IF(VLOOKUP($R$3,requiredAttributePTDMap,MATCH($A14,attributeMapFeedProductType,0)+1,FALSE)&gt;0,1,0)</formula>
    </cfRule>
    <cfRule type="expression" dxfId="1051" priority="139">
      <formula>IF(VLOOKUP($R$3,optionalAttributePTDMap,MATCH($A14,attributeMapFeedProductType,0)+1,FALSE)&gt;0,1,0)</formula>
    </cfRule>
    <cfRule type="expression" dxfId="1050" priority="140">
      <formula>IF(VLOOKUP($R$3,preferredAttributePTDMap,MATCH($A14,attributeMapFeedProductType,0)+1,FALSE)&gt;0,1,0)</formula>
    </cfRule>
    <cfRule type="expression" dxfId="1049" priority="141">
      <formula>AND(IF(IFERROR(VLOOKUP($R$3,requiredAttributePTDMap,MATCH($A14,attributeMapFeedProductType,0)+1,FALSE),0)&gt;0,0,1),IF(IFERROR(VLOOKUP($R$3,optionalAttributePTDMap,MATCH($A14,attributeMapFeedProductType,0)+1,FALSE),0)&gt;0,0,1),IF(IFERROR(VLOOKUP($R$3,preferredAttributePTDMap,MATCH($A14,attributeMapFeedProductType,0)+1,FALSE),0)&gt;0,0,1),IF(IFERROR(MATCH($A14,attributeMapFeedProductType,0),0)&gt;0,1,0))</formula>
    </cfRule>
  </conditionalFormatting>
  <conditionalFormatting sqref="S14:S17">
    <cfRule type="expression" dxfId="1048" priority="142">
      <formula>IF(LEN(S14)&gt;0,1,0)</formula>
    </cfRule>
    <cfRule type="expression" dxfId="1047" priority="143">
      <formula>IF(VLOOKUP($S$3,requiredAttributePTDMap,MATCH($A14,attributeMapFeedProductType,0)+1,FALSE)&gt;0,1,0)</formula>
    </cfRule>
    <cfRule type="expression" dxfId="1046" priority="144">
      <formula>IF(VLOOKUP($S$3,optionalAttributePTDMap,MATCH($A14,attributeMapFeedProductType,0)+1,FALSE)&gt;0,1,0)</formula>
    </cfRule>
    <cfRule type="expression" dxfId="1045" priority="145">
      <formula>IF(VLOOKUP($S$3,preferredAttributePTDMap,MATCH($A14,attributeMapFeedProductType,0)+1,FALSE)&gt;0,1,0)</formula>
    </cfRule>
    <cfRule type="expression" dxfId="1044" priority="146">
      <formula>AND(IF(IFERROR(VLOOKUP($S$3,requiredAttributePTDMap,MATCH($A14,attributeMapFeedProductType,0)+1,FALSE),0)&gt;0,0,1),IF(IFERROR(VLOOKUP($S$3,optionalAttributePTDMap,MATCH($A14,attributeMapFeedProductType,0)+1,FALSE),0)&gt;0,0,1),IF(IFERROR(VLOOKUP($S$3,preferredAttributePTDMap,MATCH($A14,attributeMapFeedProductType,0)+1,FALSE),0)&gt;0,0,1),IF(IFERROR(MATCH($A14,attributeMapFeedProductType,0),0)&gt;0,1,0))</formula>
    </cfRule>
  </conditionalFormatting>
  <conditionalFormatting sqref="T14:T17">
    <cfRule type="expression" dxfId="1043" priority="147">
      <formula>IF(LEN(T14)&gt;0,1,0)</formula>
    </cfRule>
    <cfRule type="expression" dxfId="1042" priority="148">
      <formula>IF(VLOOKUP($T$3,requiredAttributePTDMap,MATCH($A14,attributeMapFeedProductType,0)+1,FALSE)&gt;0,1,0)</formula>
    </cfRule>
    <cfRule type="expression" dxfId="1041" priority="149">
      <formula>IF(VLOOKUP($T$3,optionalAttributePTDMap,MATCH($A14,attributeMapFeedProductType,0)+1,FALSE)&gt;0,1,0)</formula>
    </cfRule>
    <cfRule type="expression" dxfId="1040" priority="150">
      <formula>IF(VLOOKUP($T$3,preferredAttributePTDMap,MATCH($A14,attributeMapFeedProductType,0)+1,FALSE)&gt;0,1,0)</formula>
    </cfRule>
    <cfRule type="expression" dxfId="1039" priority="151">
      <formula>AND(IF(IFERROR(VLOOKUP($T$3,requiredAttributePTDMap,MATCH($A14,attributeMapFeedProductType,0)+1,FALSE),0)&gt;0,0,1),IF(IFERROR(VLOOKUP($T$3,optionalAttributePTDMap,MATCH($A14,attributeMapFeedProductType,0)+1,FALSE),0)&gt;0,0,1),IF(IFERROR(VLOOKUP($T$3,preferredAttributePTDMap,MATCH($A14,attributeMapFeedProductType,0)+1,FALSE),0)&gt;0,0,1),IF(IFERROR(MATCH($A14,attributeMapFeedProductType,0),0)&gt;0,1,0))</formula>
    </cfRule>
  </conditionalFormatting>
  <conditionalFormatting sqref="V14:V17">
    <cfRule type="expression" dxfId="1038" priority="152">
      <formula>IF(LEN(V14)&gt;0,1,0)</formula>
    </cfRule>
    <cfRule type="expression" dxfId="1037" priority="153">
      <formula>IF(VLOOKUP($V$3,requiredAttributePTDMap,MATCH($A14,attributeMapFeedProductType,0)+1,FALSE)&gt;0,1,0)</formula>
    </cfRule>
    <cfRule type="expression" dxfId="1036" priority="154">
      <formula>IF(VLOOKUP($V$3,optionalAttributePTDMap,MATCH($A14,attributeMapFeedProductType,0)+1,FALSE)&gt;0,1,0)</formula>
    </cfRule>
    <cfRule type="expression" dxfId="1035" priority="155">
      <formula>IF(VLOOKUP($V$3,preferredAttributePTDMap,MATCH($A14,attributeMapFeedProductType,0)+1,FALSE)&gt;0,1,0)</formula>
    </cfRule>
    <cfRule type="expression" dxfId="1034" priority="156">
      <formula>AND(IF(IFERROR(VLOOKUP($V$3,requiredAttributePTDMap,MATCH($A14,attributeMapFeedProductType,0)+1,FALSE),0)&gt;0,0,1),IF(IFERROR(VLOOKUP($V$3,optionalAttributePTDMap,MATCH($A14,attributeMapFeedProductType,0)+1,FALSE),0)&gt;0,0,1),IF(IFERROR(VLOOKUP($V$3,preferredAttributePTDMap,MATCH($A14,attributeMapFeedProductType,0)+1,FALSE),0)&gt;0,0,1),IF(IFERROR(MATCH($A14,attributeMapFeedProductType,0),0)&gt;0,1,0))</formula>
    </cfRule>
  </conditionalFormatting>
  <conditionalFormatting sqref="W14:W17">
    <cfRule type="expression" dxfId="1033" priority="157">
      <formula>IF(LEN(W14)&gt;0,1,0)</formula>
    </cfRule>
    <cfRule type="expression" dxfId="1032" priority="158">
      <formula>IF(VLOOKUP($W$3,requiredAttributePTDMap,MATCH($A14,attributeMapFeedProductType,0)+1,FALSE)&gt;0,1,0)</formula>
    </cfRule>
    <cfRule type="expression" dxfId="1031" priority="159">
      <formula>IF(VLOOKUP($W$3,optionalAttributePTDMap,MATCH($A14,attributeMapFeedProductType,0)+1,FALSE)&gt;0,1,0)</formula>
    </cfRule>
    <cfRule type="expression" dxfId="1030" priority="160">
      <formula>IF(VLOOKUP($W$3,preferredAttributePTDMap,MATCH($A14,attributeMapFeedProductType,0)+1,FALSE)&gt;0,1,0)</formula>
    </cfRule>
    <cfRule type="expression" dxfId="1029" priority="161">
      <formula>AND(IF(IFERROR(VLOOKUP($W$3,requiredAttributePTDMap,MATCH($A14,attributeMapFeedProductType,0)+1,FALSE),0)&gt;0,0,1),IF(IFERROR(VLOOKUP($W$3,optionalAttributePTDMap,MATCH($A14,attributeMapFeedProductType,0)+1,FALSE),0)&gt;0,0,1),IF(IFERROR(VLOOKUP($W$3,preferredAttributePTDMap,MATCH($A14,attributeMapFeedProductType,0)+1,FALSE),0)&gt;0,0,1),IF(IFERROR(MATCH($A14,attributeMapFeedProductType,0),0)&gt;0,1,0))</formula>
    </cfRule>
  </conditionalFormatting>
  <conditionalFormatting sqref="X14:X17">
    <cfRule type="expression" dxfId="1028" priority="162">
      <formula>IF(LEN(X14)&gt;0,1,0)</formula>
    </cfRule>
    <cfRule type="expression" dxfId="1027" priority="163">
      <formula>IF(VLOOKUP($X$3,requiredAttributePTDMap,MATCH($A14,attributeMapFeedProductType,0)+1,FALSE)&gt;0,1,0)</formula>
    </cfRule>
    <cfRule type="expression" dxfId="1026" priority="164">
      <formula>IF(VLOOKUP($X$3,optionalAttributePTDMap,MATCH($A14,attributeMapFeedProductType,0)+1,FALSE)&gt;0,1,0)</formula>
    </cfRule>
    <cfRule type="expression" dxfId="1025" priority="165">
      <formula>IF(VLOOKUP($X$3,preferredAttributePTDMap,MATCH($A14,attributeMapFeedProductType,0)+1,FALSE)&gt;0,1,0)</formula>
    </cfRule>
    <cfRule type="expression" dxfId="1024" priority="166">
      <formula>AND(IF(IFERROR(VLOOKUP($X$3,requiredAttributePTDMap,MATCH($A14,attributeMapFeedProductType,0)+1,FALSE),0)&gt;0,0,1),IF(IFERROR(VLOOKUP($X$3,optionalAttributePTDMap,MATCH($A14,attributeMapFeedProductType,0)+1,FALSE),0)&gt;0,0,1),IF(IFERROR(VLOOKUP($X$3,preferredAttributePTDMap,MATCH($A14,attributeMapFeedProductType,0)+1,FALSE),0)&gt;0,0,1),IF(IFERROR(MATCH($A14,attributeMapFeedProductType,0),0)&gt;0,1,0))</formula>
    </cfRule>
  </conditionalFormatting>
  <conditionalFormatting sqref="Y14:Y17">
    <cfRule type="expression" dxfId="1023" priority="167">
      <formula>IF(LEN(Y14)&gt;0,1,0)</formula>
    </cfRule>
    <cfRule type="expression" dxfId="1022" priority="168">
      <formula>IF(VLOOKUP($Y$3,requiredAttributePTDMap,MATCH($A14,attributeMapFeedProductType,0)+1,FALSE)&gt;0,1,0)</formula>
    </cfRule>
    <cfRule type="expression" dxfId="1021" priority="169">
      <formula>IF(VLOOKUP($Y$3,optionalAttributePTDMap,MATCH($A14,attributeMapFeedProductType,0)+1,FALSE)&gt;0,1,0)</formula>
    </cfRule>
    <cfRule type="expression" dxfId="1020" priority="170">
      <formula>IF(VLOOKUP($Y$3,preferredAttributePTDMap,MATCH($A14,attributeMapFeedProductType,0)+1,FALSE)&gt;0,1,0)</formula>
    </cfRule>
    <cfRule type="expression" dxfId="1019" priority="171">
      <formula>AND(IF(IFERROR(VLOOKUP($Y$3,requiredAttributePTDMap,MATCH($A14,attributeMapFeedProductType,0)+1,FALSE),0)&gt;0,0,1),IF(IFERROR(VLOOKUP($Y$3,optionalAttributePTDMap,MATCH($A14,attributeMapFeedProductType,0)+1,FALSE),0)&gt;0,0,1),IF(IFERROR(VLOOKUP($Y$3,preferredAttributePTDMap,MATCH($A14,attributeMapFeedProductType,0)+1,FALSE),0)&gt;0,0,1),IF(IFERROR(MATCH($A14,attributeMapFeedProductType,0),0)&gt;0,1,0))</formula>
    </cfRule>
  </conditionalFormatting>
  <conditionalFormatting sqref="Z14:Z17">
    <cfRule type="expression" dxfId="1018" priority="172">
      <formula>IF(LEN(Z14)&gt;0,1,0)</formula>
    </cfRule>
    <cfRule type="expression" dxfId="1017" priority="173">
      <formula>IF(VLOOKUP($Z$3,requiredAttributePTDMap,MATCH($A14,attributeMapFeedProductType,0)+1,FALSE)&gt;0,1,0)</formula>
    </cfRule>
    <cfRule type="expression" dxfId="1016" priority="174">
      <formula>IF(VLOOKUP($Z$3,optionalAttributePTDMap,MATCH($A14,attributeMapFeedProductType,0)+1,FALSE)&gt;0,1,0)</formula>
    </cfRule>
    <cfRule type="expression" dxfId="1015" priority="175">
      <formula>IF(VLOOKUP($Z$3,preferredAttributePTDMap,MATCH($A14,attributeMapFeedProductType,0)+1,FALSE)&gt;0,1,0)</formula>
    </cfRule>
    <cfRule type="expression" dxfId="1014" priority="176">
      <formula>AND(IF(IFERROR(VLOOKUP($Z$3,requiredAttributePTDMap,MATCH($A14,attributeMapFeedProductType,0)+1,FALSE),0)&gt;0,0,1),IF(IFERROR(VLOOKUP($Z$3,optionalAttributePTDMap,MATCH($A14,attributeMapFeedProductType,0)+1,FALSE),0)&gt;0,0,1),IF(IFERROR(VLOOKUP($Z$3,preferredAttributePTDMap,MATCH($A14,attributeMapFeedProductType,0)+1,FALSE),0)&gt;0,0,1),IF(IFERROR(MATCH($A14,attributeMapFeedProductType,0),0)&gt;0,1,0))</formula>
    </cfRule>
  </conditionalFormatting>
  <conditionalFormatting sqref="AA14:AA17">
    <cfRule type="expression" dxfId="1013" priority="177">
      <formula>IF(LEN(AA14)&gt;0,1,0)</formula>
    </cfRule>
    <cfRule type="expression" dxfId="1012" priority="178">
      <formula>IF(VLOOKUP($AA$3,requiredAttributePTDMap,MATCH($A14,attributeMapFeedProductType,0)+1,FALSE)&gt;0,1,0)</formula>
    </cfRule>
    <cfRule type="expression" dxfId="1011" priority="179">
      <formula>IF(VLOOKUP($AA$3,optionalAttributePTDMap,MATCH($A14,attributeMapFeedProductType,0)+1,FALSE)&gt;0,1,0)</formula>
    </cfRule>
    <cfRule type="expression" dxfId="1010" priority="180">
      <formula>IF(VLOOKUP($AA$3,preferredAttributePTDMap,MATCH($A14,attributeMapFeedProductType,0)+1,FALSE)&gt;0,1,0)</formula>
    </cfRule>
    <cfRule type="expression" dxfId="1009" priority="181">
      <formula>AND(IF(IFERROR(VLOOKUP($AA$3,requiredAttributePTDMap,MATCH($A14,attributeMapFeedProductType,0)+1,FALSE),0)&gt;0,0,1),IF(IFERROR(VLOOKUP($AA$3,optionalAttributePTDMap,MATCH($A14,attributeMapFeedProductType,0)+1,FALSE),0)&gt;0,0,1),IF(IFERROR(VLOOKUP($AA$3,preferredAttributePTDMap,MATCH($A14,attributeMapFeedProductType,0)+1,FALSE),0)&gt;0,0,1),IF(IFERROR(MATCH($A14,attributeMapFeedProductType,0),0)&gt;0,1,0))</formula>
    </cfRule>
  </conditionalFormatting>
  <conditionalFormatting sqref="AB14:AB17">
    <cfRule type="expression" dxfId="1008" priority="182">
      <formula>IF(LEN(AB14)&gt;0,1,0)</formula>
    </cfRule>
    <cfRule type="expression" dxfId="1007" priority="183">
      <formula>IF(VLOOKUP($AB$3,requiredAttributePTDMap,MATCH($A14,attributeMapFeedProductType,0)+1,FALSE)&gt;0,1,0)</formula>
    </cfRule>
    <cfRule type="expression" dxfId="1006" priority="184">
      <formula>IF(VLOOKUP($AB$3,optionalAttributePTDMap,MATCH($A14,attributeMapFeedProductType,0)+1,FALSE)&gt;0,1,0)</formula>
    </cfRule>
    <cfRule type="expression" dxfId="1005" priority="185">
      <formula>IF(VLOOKUP($AB$3,preferredAttributePTDMap,MATCH($A14,attributeMapFeedProductType,0)+1,FALSE)&gt;0,1,0)</formula>
    </cfRule>
    <cfRule type="expression" dxfId="1004" priority="186">
      <formula>AND(IF(IFERROR(VLOOKUP($AB$3,requiredAttributePTDMap,MATCH($A14,attributeMapFeedProductType,0)+1,FALSE),0)&gt;0,0,1),IF(IFERROR(VLOOKUP($AB$3,optionalAttributePTDMap,MATCH($A14,attributeMapFeedProductType,0)+1,FALSE),0)&gt;0,0,1),IF(IFERROR(VLOOKUP($AB$3,preferredAttributePTDMap,MATCH($A14,attributeMapFeedProductType,0)+1,FALSE),0)&gt;0,0,1),IF(IFERROR(MATCH($A14,attributeMapFeedProductType,0),0)&gt;0,1,0))</formula>
    </cfRule>
  </conditionalFormatting>
  <conditionalFormatting sqref="AC14:AC17">
    <cfRule type="expression" dxfId="1003" priority="187">
      <formula>IF(LEN(AC14)&gt;0,1,0)</formula>
    </cfRule>
    <cfRule type="expression" dxfId="1002" priority="188">
      <formula>IF(VLOOKUP($AC$3,requiredAttributePTDMap,MATCH($A14,attributeMapFeedProductType,0)+1,FALSE)&gt;0,1,0)</formula>
    </cfRule>
    <cfRule type="expression" dxfId="1001" priority="189">
      <formula>IF(VLOOKUP($AC$3,optionalAttributePTDMap,MATCH($A14,attributeMapFeedProductType,0)+1,FALSE)&gt;0,1,0)</formula>
    </cfRule>
    <cfRule type="expression" dxfId="1000" priority="190">
      <formula>IF(VLOOKUP($AC$3,preferredAttributePTDMap,MATCH($A14,attributeMapFeedProductType,0)+1,FALSE)&gt;0,1,0)</formula>
    </cfRule>
    <cfRule type="expression" dxfId="999" priority="191">
      <formula>AND(IF(IFERROR(VLOOKUP($AC$3,requiredAttributePTDMap,MATCH($A14,attributeMapFeedProductType,0)+1,FALSE),0)&gt;0,0,1),IF(IFERROR(VLOOKUP($AC$3,optionalAttributePTDMap,MATCH($A14,attributeMapFeedProductType,0)+1,FALSE),0)&gt;0,0,1),IF(IFERROR(VLOOKUP($AC$3,preferredAttributePTDMap,MATCH($A14,attributeMapFeedProductType,0)+1,FALSE),0)&gt;0,0,1),IF(IFERROR(MATCH($A14,attributeMapFeedProductType,0),0)&gt;0,1,0))</formula>
    </cfRule>
  </conditionalFormatting>
  <conditionalFormatting sqref="AD14:AD17">
    <cfRule type="expression" dxfId="998" priority="192">
      <formula>IF(LEN(AD14)&gt;0,1,0)</formula>
    </cfRule>
    <cfRule type="expression" dxfId="997" priority="193">
      <formula>IF(VLOOKUP($AD$3,requiredAttributePTDMap,MATCH($A14,attributeMapFeedProductType,0)+1,FALSE)&gt;0,1,0)</formula>
    </cfRule>
    <cfRule type="expression" dxfId="996" priority="194">
      <formula>IF(VLOOKUP($AD$3,optionalAttributePTDMap,MATCH($A14,attributeMapFeedProductType,0)+1,FALSE)&gt;0,1,0)</formula>
    </cfRule>
    <cfRule type="expression" dxfId="995" priority="195">
      <formula>IF(VLOOKUP($AD$3,preferredAttributePTDMap,MATCH($A14,attributeMapFeedProductType,0)+1,FALSE)&gt;0,1,0)</formula>
    </cfRule>
    <cfRule type="expression" dxfId="994" priority="196">
      <formula>AND(IF(IFERROR(VLOOKUP($AD$3,requiredAttributePTDMap,MATCH($A14,attributeMapFeedProductType,0)+1,FALSE),0)&gt;0,0,1),IF(IFERROR(VLOOKUP($AD$3,optionalAttributePTDMap,MATCH($A14,attributeMapFeedProductType,0)+1,FALSE),0)&gt;0,0,1),IF(IFERROR(VLOOKUP($AD$3,preferredAttributePTDMap,MATCH($A14,attributeMapFeedProductType,0)+1,FALSE),0)&gt;0,0,1),IF(IFERROR(MATCH($A14,attributeMapFeedProductType,0),0)&gt;0,1,0))</formula>
    </cfRule>
  </conditionalFormatting>
  <conditionalFormatting sqref="AE14:AE17">
    <cfRule type="expression" dxfId="993" priority="197">
      <formula>IF(LEN(AE14)&gt;0,1,0)</formula>
    </cfRule>
    <cfRule type="expression" dxfId="992" priority="198">
      <formula>IF(VLOOKUP($AE$3,requiredAttributePTDMap,MATCH($A14,attributeMapFeedProductType,0)+1,FALSE)&gt;0,1,0)</formula>
    </cfRule>
    <cfRule type="expression" dxfId="991" priority="199">
      <formula>IF(VLOOKUP($AE$3,optionalAttributePTDMap,MATCH($A14,attributeMapFeedProductType,0)+1,FALSE)&gt;0,1,0)</formula>
    </cfRule>
    <cfRule type="expression" dxfId="990" priority="200">
      <formula>IF(VLOOKUP($AE$3,preferredAttributePTDMap,MATCH($A14,attributeMapFeedProductType,0)+1,FALSE)&gt;0,1,0)</formula>
    </cfRule>
    <cfRule type="expression" dxfId="989" priority="201">
      <formula>AND(IF(IFERROR(VLOOKUP($AE$3,requiredAttributePTDMap,MATCH($A14,attributeMapFeedProductType,0)+1,FALSE),0)&gt;0,0,1),IF(IFERROR(VLOOKUP($AE$3,optionalAttributePTDMap,MATCH($A14,attributeMapFeedProductType,0)+1,FALSE),0)&gt;0,0,1),IF(IFERROR(VLOOKUP($AE$3,preferredAttributePTDMap,MATCH($A14,attributeMapFeedProductType,0)+1,FALSE),0)&gt;0,0,1),IF(IFERROR(MATCH($A14,attributeMapFeedProductType,0),0)&gt;0,1,0))</formula>
    </cfRule>
  </conditionalFormatting>
  <conditionalFormatting sqref="AF14:AF17">
    <cfRule type="expression" dxfId="988" priority="202">
      <formula>IF(LEN(AF14)&gt;0,1,0)</formula>
    </cfRule>
    <cfRule type="expression" dxfId="987" priority="203">
      <formula>IF(VLOOKUP($AF$3,requiredAttributePTDMap,MATCH($A14,attributeMapFeedProductType,0)+1,FALSE)&gt;0,1,0)</formula>
    </cfRule>
    <cfRule type="expression" dxfId="986" priority="204">
      <formula>IF(VLOOKUP($AF$3,optionalAttributePTDMap,MATCH($A14,attributeMapFeedProductType,0)+1,FALSE)&gt;0,1,0)</formula>
    </cfRule>
    <cfRule type="expression" dxfId="985" priority="205">
      <formula>IF(VLOOKUP($AF$3,preferredAttributePTDMap,MATCH($A14,attributeMapFeedProductType,0)+1,FALSE)&gt;0,1,0)</formula>
    </cfRule>
    <cfRule type="expression" dxfId="984" priority="206">
      <formula>AND(IF(IFERROR(VLOOKUP($AF$3,requiredAttributePTDMap,MATCH($A14,attributeMapFeedProductType,0)+1,FALSE),0)&gt;0,0,1),IF(IFERROR(VLOOKUP($AF$3,optionalAttributePTDMap,MATCH($A14,attributeMapFeedProductType,0)+1,FALSE),0)&gt;0,0,1),IF(IFERROR(VLOOKUP($AF$3,preferredAttributePTDMap,MATCH($A14,attributeMapFeedProductType,0)+1,FALSE),0)&gt;0,0,1),IF(IFERROR(MATCH($A14,attributeMapFeedProductType,0),0)&gt;0,1,0))</formula>
    </cfRule>
  </conditionalFormatting>
  <conditionalFormatting sqref="AG14:AG17">
    <cfRule type="expression" dxfId="983" priority="207">
      <formula>IF(LEN(AG14)&gt;0,1,0)</formula>
    </cfRule>
    <cfRule type="expression" dxfId="982" priority="208">
      <formula>IF(VLOOKUP($AG$3,requiredAttributePTDMap,MATCH($A14,attributeMapFeedProductType,0)+1,FALSE)&gt;0,1,0)</formula>
    </cfRule>
    <cfRule type="expression" dxfId="981" priority="209">
      <formula>IF(VLOOKUP($AG$3,optionalAttributePTDMap,MATCH($A14,attributeMapFeedProductType,0)+1,FALSE)&gt;0,1,0)</formula>
    </cfRule>
    <cfRule type="expression" dxfId="980" priority="210">
      <formula>IF(VLOOKUP($AG$3,preferredAttributePTDMap,MATCH($A14,attributeMapFeedProductType,0)+1,FALSE)&gt;0,1,0)</formula>
    </cfRule>
    <cfRule type="expression" dxfId="979" priority="211">
      <formula>AND(IF(IFERROR(VLOOKUP($AG$3,requiredAttributePTDMap,MATCH($A14,attributeMapFeedProductType,0)+1,FALSE),0)&gt;0,0,1),IF(IFERROR(VLOOKUP($AG$3,optionalAttributePTDMap,MATCH($A14,attributeMapFeedProductType,0)+1,FALSE),0)&gt;0,0,1),IF(IFERROR(VLOOKUP($AG$3,preferredAttributePTDMap,MATCH($A14,attributeMapFeedProductType,0)+1,FALSE),0)&gt;0,0,1),IF(IFERROR(MATCH($A14,attributeMapFeedProductType,0),0)&gt;0,1,0))</formula>
    </cfRule>
  </conditionalFormatting>
  <conditionalFormatting sqref="AH14:AH17">
    <cfRule type="expression" dxfId="978" priority="212">
      <formula>IF(LEN(AH14)&gt;0,1,0)</formula>
    </cfRule>
    <cfRule type="expression" dxfId="977" priority="213">
      <formula>IF(VLOOKUP($AH$3,requiredAttributePTDMap,MATCH($A14,attributeMapFeedProductType,0)+1,FALSE)&gt;0,1,0)</formula>
    </cfRule>
    <cfRule type="expression" dxfId="976" priority="214">
      <formula>IF(VLOOKUP($AH$3,optionalAttributePTDMap,MATCH($A14,attributeMapFeedProductType,0)+1,FALSE)&gt;0,1,0)</formula>
    </cfRule>
    <cfRule type="expression" dxfId="975" priority="215">
      <formula>IF(VLOOKUP($AH$3,preferredAttributePTDMap,MATCH($A14,attributeMapFeedProductType,0)+1,FALSE)&gt;0,1,0)</formula>
    </cfRule>
    <cfRule type="expression" dxfId="974" priority="216">
      <formula>AND(IF(IFERROR(VLOOKUP($AH$3,requiredAttributePTDMap,MATCH($A14,attributeMapFeedProductType,0)+1,FALSE),0)&gt;0,0,1),IF(IFERROR(VLOOKUP($AH$3,optionalAttributePTDMap,MATCH($A14,attributeMapFeedProductType,0)+1,FALSE),0)&gt;0,0,1),IF(IFERROR(VLOOKUP($AH$3,preferredAttributePTDMap,MATCH($A14,attributeMapFeedProductType,0)+1,FALSE),0)&gt;0,0,1),IF(IFERROR(MATCH($A14,attributeMapFeedProductType,0),0)&gt;0,1,0))</formula>
    </cfRule>
  </conditionalFormatting>
  <conditionalFormatting sqref="AI14:AI17">
    <cfRule type="expression" dxfId="973" priority="217">
      <formula>IF(LEN(AI14)&gt;0,1,0)</formula>
    </cfRule>
    <cfRule type="expression" dxfId="972" priority="218">
      <formula>IF(VLOOKUP($AI$3,requiredAttributePTDMap,MATCH($A14,attributeMapFeedProductType,0)+1,FALSE)&gt;0,1,0)</formula>
    </cfRule>
    <cfRule type="expression" dxfId="971" priority="219">
      <formula>IF(VLOOKUP($AI$3,optionalAttributePTDMap,MATCH($A14,attributeMapFeedProductType,0)+1,FALSE)&gt;0,1,0)</formula>
    </cfRule>
    <cfRule type="expression" dxfId="970" priority="220">
      <formula>IF(VLOOKUP($AI$3,preferredAttributePTDMap,MATCH($A14,attributeMapFeedProductType,0)+1,FALSE)&gt;0,1,0)</formula>
    </cfRule>
    <cfRule type="expression" dxfId="969" priority="221">
      <formula>AND(IF(IFERROR(VLOOKUP($AI$3,requiredAttributePTDMap,MATCH($A14,attributeMapFeedProductType,0)+1,FALSE),0)&gt;0,0,1),IF(IFERROR(VLOOKUP($AI$3,optionalAttributePTDMap,MATCH($A14,attributeMapFeedProductType,0)+1,FALSE),0)&gt;0,0,1),IF(IFERROR(VLOOKUP($AI$3,preferredAttributePTDMap,MATCH($A14,attributeMapFeedProductType,0)+1,FALSE),0)&gt;0,0,1),IF(IFERROR(MATCH($A14,attributeMapFeedProductType,0),0)&gt;0,1,0))</formula>
    </cfRule>
  </conditionalFormatting>
  <conditionalFormatting sqref="AK14:AK17">
    <cfRule type="expression" dxfId="968" priority="222">
      <formula>IF(LEN(AK14)&gt;0,1,0)</formula>
    </cfRule>
    <cfRule type="expression" dxfId="967" priority="223">
      <formula>IF(VLOOKUP($AK$3,requiredAttributePTDMap,MATCH($A14,attributeMapFeedProductType,0)+1,FALSE)&gt;0,1,0)</formula>
    </cfRule>
    <cfRule type="expression" dxfId="966" priority="224">
      <formula>IF(VLOOKUP($AK$3,optionalAttributePTDMap,MATCH($A14,attributeMapFeedProductType,0)+1,FALSE)&gt;0,1,0)</formula>
    </cfRule>
    <cfRule type="expression" dxfId="965" priority="225">
      <formula>IF(VLOOKUP($AK$3,preferredAttributePTDMap,MATCH($A14,attributeMapFeedProductType,0)+1,FALSE)&gt;0,1,0)</formula>
    </cfRule>
    <cfRule type="expression" dxfId="964" priority="226">
      <formula>AND(IF(IFERROR(VLOOKUP($AK$3,requiredAttributePTDMap,MATCH($A14,attributeMapFeedProductType,0)+1,FALSE),0)&gt;0,0,1),IF(IFERROR(VLOOKUP($AK$3,optionalAttributePTDMap,MATCH($A14,attributeMapFeedProductType,0)+1,FALSE),0)&gt;0,0,1),IF(IFERROR(VLOOKUP($AK$3,preferredAttributePTDMap,MATCH($A14,attributeMapFeedProductType,0)+1,FALSE),0)&gt;0,0,1),IF(IFERROR(MATCH($A14,attributeMapFeedProductType,0),0)&gt;0,1,0))</formula>
    </cfRule>
  </conditionalFormatting>
  <conditionalFormatting sqref="AL14:AL17">
    <cfRule type="expression" dxfId="963" priority="227">
      <formula>IF(LEN(AL14)&gt;0,1,0)</formula>
    </cfRule>
    <cfRule type="expression" dxfId="962" priority="228">
      <formula>IF(VLOOKUP($AL$3,requiredAttributePTDMap,MATCH($A14,attributeMapFeedProductType,0)+1,FALSE)&gt;0,1,0)</formula>
    </cfRule>
    <cfRule type="expression" dxfId="961" priority="229">
      <formula>IF(VLOOKUP($AL$3,optionalAttributePTDMap,MATCH($A14,attributeMapFeedProductType,0)+1,FALSE)&gt;0,1,0)</formula>
    </cfRule>
    <cfRule type="expression" dxfId="960" priority="230">
      <formula>IF(VLOOKUP($AL$3,preferredAttributePTDMap,MATCH($A14,attributeMapFeedProductType,0)+1,FALSE)&gt;0,1,0)</formula>
    </cfRule>
    <cfRule type="expression" dxfId="959" priority="231">
      <formula>AND(IF(IFERROR(VLOOKUP($AL$3,requiredAttributePTDMap,MATCH($A14,attributeMapFeedProductType,0)+1,FALSE),0)&gt;0,0,1),IF(IFERROR(VLOOKUP($AL$3,optionalAttributePTDMap,MATCH($A14,attributeMapFeedProductType,0)+1,FALSE),0)&gt;0,0,1),IF(IFERROR(VLOOKUP($AL$3,preferredAttributePTDMap,MATCH($A14,attributeMapFeedProductType,0)+1,FALSE),0)&gt;0,0,1),IF(IFERROR(MATCH($A14,attributeMapFeedProductType,0),0)&gt;0,1,0))</formula>
    </cfRule>
  </conditionalFormatting>
  <conditionalFormatting sqref="AM14:AM17">
    <cfRule type="expression" dxfId="958" priority="232">
      <formula>IF(LEN(AM14)&gt;0,1,0)</formula>
    </cfRule>
    <cfRule type="expression" dxfId="957" priority="233">
      <formula>IF(VLOOKUP($AM$3,requiredAttributePTDMap,MATCH($A14,attributeMapFeedProductType,0)+1,FALSE)&gt;0,1,0)</formula>
    </cfRule>
    <cfRule type="expression" dxfId="956" priority="234">
      <formula>IF(VLOOKUP($AM$3,optionalAttributePTDMap,MATCH($A14,attributeMapFeedProductType,0)+1,FALSE)&gt;0,1,0)</formula>
    </cfRule>
    <cfRule type="expression" dxfId="955" priority="235">
      <formula>IF(VLOOKUP($AM$3,preferredAttributePTDMap,MATCH($A14,attributeMapFeedProductType,0)+1,FALSE)&gt;0,1,0)</formula>
    </cfRule>
    <cfRule type="expression" dxfId="954" priority="236">
      <formula>AND(IF(IFERROR(VLOOKUP($AM$3,requiredAttributePTDMap,MATCH($A14,attributeMapFeedProductType,0)+1,FALSE),0)&gt;0,0,1),IF(IFERROR(VLOOKUP($AM$3,optionalAttributePTDMap,MATCH($A14,attributeMapFeedProductType,0)+1,FALSE),0)&gt;0,0,1),IF(IFERROR(VLOOKUP($AM$3,preferredAttributePTDMap,MATCH($A14,attributeMapFeedProductType,0)+1,FALSE),0)&gt;0,0,1),IF(IFERROR(MATCH($A14,attributeMapFeedProductType,0),0)&gt;0,1,0))</formula>
    </cfRule>
  </conditionalFormatting>
  <conditionalFormatting sqref="AN14:AN17">
    <cfRule type="expression" dxfId="953" priority="237">
      <formula>IF(LEN(AN14)&gt;0,1,0)</formula>
    </cfRule>
    <cfRule type="expression" dxfId="952" priority="238">
      <formula>IF(VLOOKUP($AN$3,requiredAttributePTDMap,MATCH($A14,attributeMapFeedProductType,0)+1,FALSE)&gt;0,1,0)</formula>
    </cfRule>
    <cfRule type="expression" dxfId="951" priority="239">
      <formula>IF(VLOOKUP($AN$3,optionalAttributePTDMap,MATCH($A14,attributeMapFeedProductType,0)+1,FALSE)&gt;0,1,0)</formula>
    </cfRule>
    <cfRule type="expression" dxfId="950" priority="240">
      <formula>IF(VLOOKUP($AN$3,preferredAttributePTDMap,MATCH($A14,attributeMapFeedProductType,0)+1,FALSE)&gt;0,1,0)</formula>
    </cfRule>
    <cfRule type="expression" dxfId="949" priority="241">
      <formula>AND(IF(IFERROR(VLOOKUP($AN$3,requiredAttributePTDMap,MATCH($A14,attributeMapFeedProductType,0)+1,FALSE),0)&gt;0,0,1),IF(IFERROR(VLOOKUP($AN$3,optionalAttributePTDMap,MATCH($A14,attributeMapFeedProductType,0)+1,FALSE),0)&gt;0,0,1),IF(IFERROR(VLOOKUP($AN$3,preferredAttributePTDMap,MATCH($A14,attributeMapFeedProductType,0)+1,FALSE),0)&gt;0,0,1),IF(IFERROR(MATCH($A14,attributeMapFeedProductType,0),0)&gt;0,1,0))</formula>
    </cfRule>
  </conditionalFormatting>
  <conditionalFormatting sqref="AO14:AO17">
    <cfRule type="expression" dxfId="948" priority="242">
      <formula>IF(LEN(AO14)&gt;0,1,0)</formula>
    </cfRule>
    <cfRule type="expression" dxfId="947" priority="243">
      <formula>IF(VLOOKUP($AO$3,requiredAttributePTDMap,MATCH($A14,attributeMapFeedProductType,0)+1,FALSE)&gt;0,1,0)</formula>
    </cfRule>
    <cfRule type="expression" dxfId="946" priority="244">
      <formula>IF(VLOOKUP($AO$3,optionalAttributePTDMap,MATCH($A14,attributeMapFeedProductType,0)+1,FALSE)&gt;0,1,0)</formula>
    </cfRule>
    <cfRule type="expression" dxfId="945" priority="245">
      <formula>IF(VLOOKUP($AO$3,preferredAttributePTDMap,MATCH($A14,attributeMapFeedProductType,0)+1,FALSE)&gt;0,1,0)</formula>
    </cfRule>
    <cfRule type="expression" dxfId="944" priority="246">
      <formula>AND(IF(IFERROR(VLOOKUP($AO$3,requiredAttributePTDMap,MATCH($A14,attributeMapFeedProductType,0)+1,FALSE),0)&gt;0,0,1),IF(IFERROR(VLOOKUP($AO$3,optionalAttributePTDMap,MATCH($A14,attributeMapFeedProductType,0)+1,FALSE),0)&gt;0,0,1),IF(IFERROR(VLOOKUP($AO$3,preferredAttributePTDMap,MATCH($A14,attributeMapFeedProductType,0)+1,FALSE),0)&gt;0,0,1),IF(IFERROR(MATCH($A14,attributeMapFeedProductType,0),0)&gt;0,1,0))</formula>
    </cfRule>
  </conditionalFormatting>
  <conditionalFormatting sqref="AP14:AP17">
    <cfRule type="expression" dxfId="943" priority="247">
      <formula>IF(LEN(AP14)&gt;0,1,0)</formula>
    </cfRule>
    <cfRule type="expression" dxfId="942" priority="248">
      <formula>IF(VLOOKUP($AP$3,requiredAttributePTDMap,MATCH($A14,attributeMapFeedProductType,0)+1,FALSE)&gt;0,1,0)</formula>
    </cfRule>
    <cfRule type="expression" dxfId="941" priority="249">
      <formula>IF(VLOOKUP($AP$3,optionalAttributePTDMap,MATCH($A14,attributeMapFeedProductType,0)+1,FALSE)&gt;0,1,0)</formula>
    </cfRule>
    <cfRule type="expression" dxfId="940" priority="250">
      <formula>IF(VLOOKUP($AP$3,preferredAttributePTDMap,MATCH($A14,attributeMapFeedProductType,0)+1,FALSE)&gt;0,1,0)</formula>
    </cfRule>
    <cfRule type="expression" dxfId="939" priority="251">
      <formula>AND(IF(IFERROR(VLOOKUP($AP$3,requiredAttributePTDMap,MATCH($A14,attributeMapFeedProductType,0)+1,FALSE),0)&gt;0,0,1),IF(IFERROR(VLOOKUP($AP$3,optionalAttributePTDMap,MATCH($A14,attributeMapFeedProductType,0)+1,FALSE),0)&gt;0,0,1),IF(IFERROR(VLOOKUP($AP$3,preferredAttributePTDMap,MATCH($A14,attributeMapFeedProductType,0)+1,FALSE),0)&gt;0,0,1),IF(IFERROR(MATCH($A14,attributeMapFeedProductType,0),0)&gt;0,1,0))</formula>
    </cfRule>
  </conditionalFormatting>
  <conditionalFormatting sqref="AQ14:AQ17">
    <cfRule type="expression" dxfId="938" priority="252">
      <formula>IF(LEN(AQ14)&gt;0,1,0)</formula>
    </cfRule>
    <cfRule type="expression" dxfId="937" priority="253">
      <formula>IF(VLOOKUP($AQ$3,requiredAttributePTDMap,MATCH($A14,attributeMapFeedProductType,0)+1,FALSE)&gt;0,1,0)</formula>
    </cfRule>
    <cfRule type="expression" dxfId="936" priority="254">
      <formula>IF(VLOOKUP($AQ$3,optionalAttributePTDMap,MATCH($A14,attributeMapFeedProductType,0)+1,FALSE)&gt;0,1,0)</formula>
    </cfRule>
    <cfRule type="expression" dxfId="935" priority="255">
      <formula>IF(VLOOKUP($AQ$3,preferredAttributePTDMap,MATCH($A14,attributeMapFeedProductType,0)+1,FALSE)&gt;0,1,0)</formula>
    </cfRule>
    <cfRule type="expression" dxfId="934" priority="256">
      <formula>AND(IF(IFERROR(VLOOKUP($AQ$3,requiredAttributePTDMap,MATCH($A14,attributeMapFeedProductType,0)+1,FALSE),0)&gt;0,0,1),IF(IFERROR(VLOOKUP($AQ$3,optionalAttributePTDMap,MATCH($A14,attributeMapFeedProductType,0)+1,FALSE),0)&gt;0,0,1),IF(IFERROR(VLOOKUP($AQ$3,preferredAttributePTDMap,MATCH($A14,attributeMapFeedProductType,0)+1,FALSE),0)&gt;0,0,1),IF(IFERROR(MATCH($A14,attributeMapFeedProductType,0),0)&gt;0,1,0))</formula>
    </cfRule>
  </conditionalFormatting>
  <conditionalFormatting sqref="AR14:AR17">
    <cfRule type="expression" dxfId="933" priority="257">
      <formula>IF(LEN(AR14)&gt;0,1,0)</formula>
    </cfRule>
    <cfRule type="expression" dxfId="932" priority="258">
      <formula>IF(VLOOKUP($AR$3,requiredAttributePTDMap,MATCH($A14,attributeMapFeedProductType,0)+1,FALSE)&gt;0,1,0)</formula>
    </cfRule>
    <cfRule type="expression" dxfId="931" priority="259">
      <formula>IF(VLOOKUP($AR$3,optionalAttributePTDMap,MATCH($A14,attributeMapFeedProductType,0)+1,FALSE)&gt;0,1,0)</formula>
    </cfRule>
    <cfRule type="expression" dxfId="930" priority="260">
      <formula>IF(VLOOKUP($AR$3,preferredAttributePTDMap,MATCH($A14,attributeMapFeedProductType,0)+1,FALSE)&gt;0,1,0)</formula>
    </cfRule>
    <cfRule type="expression" dxfId="929" priority="261">
      <formula>AND(IF(IFERROR(VLOOKUP($AR$3,requiredAttributePTDMap,MATCH($A14,attributeMapFeedProductType,0)+1,FALSE),0)&gt;0,0,1),IF(IFERROR(VLOOKUP($AR$3,optionalAttributePTDMap,MATCH($A14,attributeMapFeedProductType,0)+1,FALSE),0)&gt;0,0,1),IF(IFERROR(VLOOKUP($AR$3,preferredAttributePTDMap,MATCH($A14,attributeMapFeedProductType,0)+1,FALSE),0)&gt;0,0,1),IF(IFERROR(MATCH($A14,attributeMapFeedProductType,0),0)&gt;0,1,0))</formula>
    </cfRule>
  </conditionalFormatting>
  <conditionalFormatting sqref="AS14:AS17">
    <cfRule type="expression" dxfId="928" priority="262">
      <formula>IF(LEN(AS14)&gt;0,1,0)</formula>
    </cfRule>
    <cfRule type="expression" dxfId="927" priority="263">
      <formula>IF(VLOOKUP($AS$3,requiredAttributePTDMap,MATCH($A14,attributeMapFeedProductType,0)+1,FALSE)&gt;0,1,0)</formula>
    </cfRule>
    <cfRule type="expression" dxfId="926" priority="264">
      <formula>IF(VLOOKUP($AS$3,optionalAttributePTDMap,MATCH($A14,attributeMapFeedProductType,0)+1,FALSE)&gt;0,1,0)</formula>
    </cfRule>
    <cfRule type="expression" dxfId="925" priority="265">
      <formula>IF(VLOOKUP($AS$3,preferredAttributePTDMap,MATCH($A14,attributeMapFeedProductType,0)+1,FALSE)&gt;0,1,0)</formula>
    </cfRule>
    <cfRule type="expression" dxfId="924" priority="266">
      <formula>AND(IF(IFERROR(VLOOKUP($AS$3,requiredAttributePTDMap,MATCH($A14,attributeMapFeedProductType,0)+1,FALSE),0)&gt;0,0,1),IF(IFERROR(VLOOKUP($AS$3,optionalAttributePTDMap,MATCH($A14,attributeMapFeedProductType,0)+1,FALSE),0)&gt;0,0,1),IF(IFERROR(VLOOKUP($AS$3,preferredAttributePTDMap,MATCH($A14,attributeMapFeedProductType,0)+1,FALSE),0)&gt;0,0,1),IF(IFERROR(MATCH($A14,attributeMapFeedProductType,0),0)&gt;0,1,0))</formula>
    </cfRule>
  </conditionalFormatting>
  <conditionalFormatting sqref="AT14:AT17">
    <cfRule type="expression" dxfId="923" priority="267">
      <formula>IF(LEN(AT14)&gt;0,1,0)</formula>
    </cfRule>
    <cfRule type="expression" dxfId="922" priority="268">
      <formula>IF(VLOOKUP($AT$3,requiredAttributePTDMap,MATCH($A14,attributeMapFeedProductType,0)+1,FALSE)&gt;0,1,0)</formula>
    </cfRule>
    <cfRule type="expression" dxfId="921" priority="269">
      <formula>IF(VLOOKUP($AT$3,optionalAttributePTDMap,MATCH($A14,attributeMapFeedProductType,0)+1,FALSE)&gt;0,1,0)</formula>
    </cfRule>
    <cfRule type="expression" dxfId="920" priority="270">
      <formula>IF(VLOOKUP($AT$3,preferredAttributePTDMap,MATCH($A14,attributeMapFeedProductType,0)+1,FALSE)&gt;0,1,0)</formula>
    </cfRule>
    <cfRule type="expression" dxfId="919" priority="271">
      <formula>AND(IF(IFERROR(VLOOKUP($AT$3,requiredAttributePTDMap,MATCH($A14,attributeMapFeedProductType,0)+1,FALSE),0)&gt;0,0,1),IF(IFERROR(VLOOKUP($AT$3,optionalAttributePTDMap,MATCH($A14,attributeMapFeedProductType,0)+1,FALSE),0)&gt;0,0,1),IF(IFERROR(VLOOKUP($AT$3,preferredAttributePTDMap,MATCH($A14,attributeMapFeedProductType,0)+1,FALSE),0)&gt;0,0,1),IF(IFERROR(MATCH($A14,attributeMapFeedProductType,0),0)&gt;0,1,0))</formula>
    </cfRule>
  </conditionalFormatting>
  <conditionalFormatting sqref="AU14:AU17">
    <cfRule type="expression" dxfId="918" priority="272">
      <formula>IF(LEN(AU14)&gt;0,1,0)</formula>
    </cfRule>
    <cfRule type="expression" dxfId="917" priority="273">
      <formula>IF(VLOOKUP($AU$3,requiredAttributePTDMap,MATCH($A14,attributeMapFeedProductType,0)+1,FALSE)&gt;0,1,0)</formula>
    </cfRule>
    <cfRule type="expression" dxfId="916" priority="274">
      <formula>IF(VLOOKUP($AU$3,optionalAttributePTDMap,MATCH($A14,attributeMapFeedProductType,0)+1,FALSE)&gt;0,1,0)</formula>
    </cfRule>
    <cfRule type="expression" dxfId="915" priority="275">
      <formula>IF(VLOOKUP($AU$3,preferredAttributePTDMap,MATCH($A14,attributeMapFeedProductType,0)+1,FALSE)&gt;0,1,0)</formula>
    </cfRule>
    <cfRule type="expression" dxfId="914" priority="276">
      <formula>AND(IF(IFERROR(VLOOKUP($AU$3,requiredAttributePTDMap,MATCH($A14,attributeMapFeedProductType,0)+1,FALSE),0)&gt;0,0,1),IF(IFERROR(VLOOKUP($AU$3,optionalAttributePTDMap,MATCH($A14,attributeMapFeedProductType,0)+1,FALSE),0)&gt;0,0,1),IF(IFERROR(VLOOKUP($AU$3,preferredAttributePTDMap,MATCH($A14,attributeMapFeedProductType,0)+1,FALSE),0)&gt;0,0,1),IF(IFERROR(MATCH($A14,attributeMapFeedProductType,0),0)&gt;0,1,0))</formula>
    </cfRule>
  </conditionalFormatting>
  <conditionalFormatting sqref="AV14:AV17">
    <cfRule type="expression" dxfId="913" priority="277">
      <formula>IF(LEN(AV14)&gt;0,1,0)</formula>
    </cfRule>
    <cfRule type="expression" dxfId="912" priority="278">
      <formula>IF(VLOOKUP($AV$3,requiredAttributePTDMap,MATCH($A14,attributeMapFeedProductType,0)+1,FALSE)&gt;0,1,0)</formula>
    </cfRule>
    <cfRule type="expression" dxfId="911" priority="279">
      <formula>IF(VLOOKUP($AV$3,optionalAttributePTDMap,MATCH($A14,attributeMapFeedProductType,0)+1,FALSE)&gt;0,1,0)</formula>
    </cfRule>
    <cfRule type="expression" dxfId="910" priority="280">
      <formula>IF(VLOOKUP($AV$3,preferredAttributePTDMap,MATCH($A14,attributeMapFeedProductType,0)+1,FALSE)&gt;0,1,0)</formula>
    </cfRule>
    <cfRule type="expression" dxfId="909" priority="281">
      <formula>AND(IF(IFERROR(VLOOKUP($AV$3,requiredAttributePTDMap,MATCH($A14,attributeMapFeedProductType,0)+1,FALSE),0)&gt;0,0,1),IF(IFERROR(VLOOKUP($AV$3,optionalAttributePTDMap,MATCH($A14,attributeMapFeedProductType,0)+1,FALSE),0)&gt;0,0,1),IF(IFERROR(VLOOKUP($AV$3,preferredAttributePTDMap,MATCH($A14,attributeMapFeedProductType,0)+1,FALSE),0)&gt;0,0,1),IF(IFERROR(MATCH($A14,attributeMapFeedProductType,0),0)&gt;0,1,0))</formula>
    </cfRule>
  </conditionalFormatting>
  <conditionalFormatting sqref="AW14:AW17">
    <cfRule type="expression" dxfId="908" priority="282">
      <formula>IF(LEN(AW14)&gt;0,1,0)</formula>
    </cfRule>
    <cfRule type="expression" dxfId="907" priority="283">
      <formula>IF(VLOOKUP($AW$3,requiredAttributePTDMap,MATCH($A14,attributeMapFeedProductType,0)+1,FALSE)&gt;0,1,0)</formula>
    </cfRule>
    <cfRule type="expression" dxfId="906" priority="284">
      <formula>IF(VLOOKUP($AW$3,optionalAttributePTDMap,MATCH($A14,attributeMapFeedProductType,0)+1,FALSE)&gt;0,1,0)</formula>
    </cfRule>
    <cfRule type="expression" dxfId="905" priority="285">
      <formula>IF(VLOOKUP($AW$3,preferredAttributePTDMap,MATCH($A14,attributeMapFeedProductType,0)+1,FALSE)&gt;0,1,0)</formula>
    </cfRule>
    <cfRule type="expression" dxfId="904" priority="286">
      <formula>AND(IF(IFERROR(VLOOKUP($AW$3,requiredAttributePTDMap,MATCH($A14,attributeMapFeedProductType,0)+1,FALSE),0)&gt;0,0,1),IF(IFERROR(VLOOKUP($AW$3,optionalAttributePTDMap,MATCH($A14,attributeMapFeedProductType,0)+1,FALSE),0)&gt;0,0,1),IF(IFERROR(VLOOKUP($AW$3,preferredAttributePTDMap,MATCH($A14,attributeMapFeedProductType,0)+1,FALSE),0)&gt;0,0,1),IF(IFERROR(MATCH($A14,attributeMapFeedProductType,0),0)&gt;0,1,0))</formula>
    </cfRule>
  </conditionalFormatting>
  <conditionalFormatting sqref="AX14:AX17">
    <cfRule type="expression" dxfId="903" priority="287">
      <formula>IF(LEN(AX14)&gt;0,1,0)</formula>
    </cfRule>
    <cfRule type="expression" dxfId="902" priority="288">
      <formula>IF(VLOOKUP($AX$3,requiredAttributePTDMap,MATCH($A14,attributeMapFeedProductType,0)+1,FALSE)&gt;0,1,0)</formula>
    </cfRule>
    <cfRule type="expression" dxfId="901" priority="289">
      <formula>IF(VLOOKUP($AX$3,optionalAttributePTDMap,MATCH($A14,attributeMapFeedProductType,0)+1,FALSE)&gt;0,1,0)</formula>
    </cfRule>
    <cfRule type="expression" dxfId="900" priority="290">
      <formula>IF(VLOOKUP($AX$3,preferredAttributePTDMap,MATCH($A14,attributeMapFeedProductType,0)+1,FALSE)&gt;0,1,0)</formula>
    </cfRule>
    <cfRule type="expression" dxfId="899" priority="291">
      <formula>AND(IF(IFERROR(VLOOKUP($AX$3,requiredAttributePTDMap,MATCH($A14,attributeMapFeedProductType,0)+1,FALSE),0)&gt;0,0,1),IF(IFERROR(VLOOKUP($AX$3,optionalAttributePTDMap,MATCH($A14,attributeMapFeedProductType,0)+1,FALSE),0)&gt;0,0,1),IF(IFERROR(VLOOKUP($AX$3,preferredAttributePTDMap,MATCH($A14,attributeMapFeedProductType,0)+1,FALSE),0)&gt;0,0,1),IF(IFERROR(MATCH($A14,attributeMapFeedProductType,0),0)&gt;0,1,0))</formula>
    </cfRule>
  </conditionalFormatting>
  <conditionalFormatting sqref="AY14:AY17">
    <cfRule type="expression" dxfId="898" priority="292">
      <formula>IF(LEN(AY14)&gt;0,1,0)</formula>
    </cfRule>
    <cfRule type="expression" dxfId="897" priority="293">
      <formula>IF(VLOOKUP($AY$3,requiredAttributePTDMap,MATCH($A14,attributeMapFeedProductType,0)+1,FALSE)&gt;0,1,0)</formula>
    </cfRule>
    <cfRule type="expression" dxfId="896" priority="294">
      <formula>IF(VLOOKUP($AY$3,optionalAttributePTDMap,MATCH($A14,attributeMapFeedProductType,0)+1,FALSE)&gt;0,1,0)</formula>
    </cfRule>
    <cfRule type="expression" dxfId="895" priority="295">
      <formula>IF(VLOOKUP($AY$3,preferredAttributePTDMap,MATCH($A14,attributeMapFeedProductType,0)+1,FALSE)&gt;0,1,0)</formula>
    </cfRule>
    <cfRule type="expression" dxfId="894" priority="296">
      <formula>AND(IF(IFERROR(VLOOKUP($AY$3,requiredAttributePTDMap,MATCH($A14,attributeMapFeedProductType,0)+1,FALSE),0)&gt;0,0,1),IF(IFERROR(VLOOKUP($AY$3,optionalAttributePTDMap,MATCH($A14,attributeMapFeedProductType,0)+1,FALSE),0)&gt;0,0,1),IF(IFERROR(VLOOKUP($AY$3,preferredAttributePTDMap,MATCH($A14,attributeMapFeedProductType,0)+1,FALSE),0)&gt;0,0,1),IF(IFERROR(MATCH($A14,attributeMapFeedProductType,0),0)&gt;0,1,0))</formula>
    </cfRule>
  </conditionalFormatting>
  <conditionalFormatting sqref="AZ14:AZ17">
    <cfRule type="expression" dxfId="893" priority="297">
      <formula>IF(LEN(AZ14)&gt;0,1,0)</formula>
    </cfRule>
    <cfRule type="expression" dxfId="892" priority="298">
      <formula>IF(VLOOKUP($AZ$3,requiredAttributePTDMap,MATCH($A14,attributeMapFeedProductType,0)+1,FALSE)&gt;0,1,0)</formula>
    </cfRule>
    <cfRule type="expression" dxfId="891" priority="299">
      <formula>IF(VLOOKUP($AZ$3,optionalAttributePTDMap,MATCH($A14,attributeMapFeedProductType,0)+1,FALSE)&gt;0,1,0)</formula>
    </cfRule>
    <cfRule type="expression" dxfId="890" priority="300">
      <formula>IF(VLOOKUP($AZ$3,preferredAttributePTDMap,MATCH($A14,attributeMapFeedProductType,0)+1,FALSE)&gt;0,1,0)</formula>
    </cfRule>
    <cfRule type="expression" dxfId="889" priority="301">
      <formula>AND(IF(IFERROR(VLOOKUP($AZ$3,requiredAttributePTDMap,MATCH($A14,attributeMapFeedProductType,0)+1,FALSE),0)&gt;0,0,1),IF(IFERROR(VLOOKUP($AZ$3,optionalAttributePTDMap,MATCH($A14,attributeMapFeedProductType,0)+1,FALSE),0)&gt;0,0,1),IF(IFERROR(VLOOKUP($AZ$3,preferredAttributePTDMap,MATCH($A14,attributeMapFeedProductType,0)+1,FALSE),0)&gt;0,0,1),IF(IFERROR(MATCH($A14,attributeMapFeedProductType,0),0)&gt;0,1,0))</formula>
    </cfRule>
  </conditionalFormatting>
  <conditionalFormatting sqref="BA14:BA17">
    <cfRule type="expression" dxfId="888" priority="302">
      <formula>IF(LEN(BA14)&gt;0,1,0)</formula>
    </cfRule>
    <cfRule type="expression" dxfId="887" priority="303">
      <formula>IF(VLOOKUP($BA$3,requiredAttributePTDMap,MATCH($A14,attributeMapFeedProductType,0)+1,FALSE)&gt;0,1,0)</formula>
    </cfRule>
    <cfRule type="expression" dxfId="886" priority="304">
      <formula>IF(VLOOKUP($BA$3,optionalAttributePTDMap,MATCH($A14,attributeMapFeedProductType,0)+1,FALSE)&gt;0,1,0)</formula>
    </cfRule>
    <cfRule type="expression" dxfId="885" priority="305">
      <formula>IF(VLOOKUP($BA$3,preferredAttributePTDMap,MATCH($A14,attributeMapFeedProductType,0)+1,FALSE)&gt;0,1,0)</formula>
    </cfRule>
    <cfRule type="expression" dxfId="884" priority="306">
      <formula>AND(IF(IFERROR(VLOOKUP($BA$3,requiredAttributePTDMap,MATCH($A14,attributeMapFeedProductType,0)+1,FALSE),0)&gt;0,0,1),IF(IFERROR(VLOOKUP($BA$3,optionalAttributePTDMap,MATCH($A14,attributeMapFeedProductType,0)+1,FALSE),0)&gt;0,0,1),IF(IFERROR(VLOOKUP($BA$3,preferredAttributePTDMap,MATCH($A14,attributeMapFeedProductType,0)+1,FALSE),0)&gt;0,0,1),IF(IFERROR(MATCH($A14,attributeMapFeedProductType,0),0)&gt;0,1,0))</formula>
    </cfRule>
  </conditionalFormatting>
  <conditionalFormatting sqref="BB14:BB17">
    <cfRule type="expression" dxfId="883" priority="307">
      <formula>IF(LEN(BB14)&gt;0,1,0)</formula>
    </cfRule>
    <cfRule type="expression" dxfId="882" priority="308">
      <formula>IF(VLOOKUP($BB$3,requiredAttributePTDMap,MATCH($A14,attributeMapFeedProductType,0)+1,FALSE)&gt;0,1,0)</formula>
    </cfRule>
    <cfRule type="expression" dxfId="881" priority="309">
      <formula>IF(VLOOKUP($BB$3,optionalAttributePTDMap,MATCH($A14,attributeMapFeedProductType,0)+1,FALSE)&gt;0,1,0)</formula>
    </cfRule>
    <cfRule type="expression" dxfId="880" priority="310">
      <formula>IF(VLOOKUP($BB$3,preferredAttributePTDMap,MATCH($A14,attributeMapFeedProductType,0)+1,FALSE)&gt;0,1,0)</formula>
    </cfRule>
    <cfRule type="expression" dxfId="879" priority="311">
      <formula>AND(IF(IFERROR(VLOOKUP($BB$3,requiredAttributePTDMap,MATCH($A14,attributeMapFeedProductType,0)+1,FALSE),0)&gt;0,0,1),IF(IFERROR(VLOOKUP($BB$3,optionalAttributePTDMap,MATCH($A14,attributeMapFeedProductType,0)+1,FALSE),0)&gt;0,0,1),IF(IFERROR(VLOOKUP($BB$3,preferredAttributePTDMap,MATCH($A14,attributeMapFeedProductType,0)+1,FALSE),0)&gt;0,0,1),IF(IFERROR(MATCH($A14,attributeMapFeedProductType,0),0)&gt;0,1,0))</formula>
    </cfRule>
  </conditionalFormatting>
  <conditionalFormatting sqref="BC14:BC17">
    <cfRule type="expression" dxfId="878" priority="312">
      <formula>IF(LEN(BC14)&gt;0,1,0)</formula>
    </cfRule>
    <cfRule type="expression" dxfId="877" priority="313">
      <formula>IF(VLOOKUP($BC$3,requiredAttributePTDMap,MATCH($A14,attributeMapFeedProductType,0)+1,FALSE)&gt;0,1,0)</formula>
    </cfRule>
    <cfRule type="expression" dxfId="876" priority="314">
      <formula>IF(VLOOKUP($BC$3,optionalAttributePTDMap,MATCH($A14,attributeMapFeedProductType,0)+1,FALSE)&gt;0,1,0)</formula>
    </cfRule>
    <cfRule type="expression" dxfId="875" priority="315">
      <formula>IF(VLOOKUP($BC$3,preferredAttributePTDMap,MATCH($A14,attributeMapFeedProductType,0)+1,FALSE)&gt;0,1,0)</formula>
    </cfRule>
    <cfRule type="expression" dxfId="874" priority="316">
      <formula>AND(IF(IFERROR(VLOOKUP($BC$3,requiredAttributePTDMap,MATCH($A14,attributeMapFeedProductType,0)+1,FALSE),0)&gt;0,0,1),IF(IFERROR(VLOOKUP($BC$3,optionalAttributePTDMap,MATCH($A14,attributeMapFeedProductType,0)+1,FALSE),0)&gt;0,0,1),IF(IFERROR(VLOOKUP($BC$3,preferredAttributePTDMap,MATCH($A14,attributeMapFeedProductType,0)+1,FALSE),0)&gt;0,0,1),IF(IFERROR(MATCH($A14,attributeMapFeedProductType,0),0)&gt;0,1,0))</formula>
    </cfRule>
  </conditionalFormatting>
  <conditionalFormatting sqref="BD14:BD17">
    <cfRule type="expression" dxfId="873" priority="317">
      <formula>IF(LEN(BD14)&gt;0,1,0)</formula>
    </cfRule>
    <cfRule type="expression" dxfId="872" priority="318">
      <formula>IF(VLOOKUP($BD$3,requiredAttributePTDMap,MATCH($A14,attributeMapFeedProductType,0)+1,FALSE)&gt;0,1,0)</formula>
    </cfRule>
    <cfRule type="expression" dxfId="871" priority="319">
      <formula>IF(VLOOKUP($BD$3,optionalAttributePTDMap,MATCH($A14,attributeMapFeedProductType,0)+1,FALSE)&gt;0,1,0)</formula>
    </cfRule>
    <cfRule type="expression" dxfId="870" priority="320">
      <formula>IF(VLOOKUP($BD$3,preferredAttributePTDMap,MATCH($A14,attributeMapFeedProductType,0)+1,FALSE)&gt;0,1,0)</formula>
    </cfRule>
    <cfRule type="expression" dxfId="869" priority="321">
      <formula>AND(IF(IFERROR(VLOOKUP($BD$3,requiredAttributePTDMap,MATCH($A14,attributeMapFeedProductType,0)+1,FALSE),0)&gt;0,0,1),IF(IFERROR(VLOOKUP($BD$3,optionalAttributePTDMap,MATCH($A14,attributeMapFeedProductType,0)+1,FALSE),0)&gt;0,0,1),IF(IFERROR(VLOOKUP($BD$3,preferredAttributePTDMap,MATCH($A14,attributeMapFeedProductType,0)+1,FALSE),0)&gt;0,0,1),IF(IFERROR(MATCH($A14,attributeMapFeedProductType,0),0)&gt;0,1,0))</formula>
    </cfRule>
  </conditionalFormatting>
  <conditionalFormatting sqref="BE14:BE17">
    <cfRule type="expression" dxfId="868" priority="322">
      <formula>IF(LEN(BE14)&gt;0,1,0)</formula>
    </cfRule>
    <cfRule type="expression" dxfId="867" priority="323">
      <formula>IF(VLOOKUP($BE$3,requiredAttributePTDMap,MATCH($A14,attributeMapFeedProductType,0)+1,FALSE)&gt;0,1,0)</formula>
    </cfRule>
    <cfRule type="expression" dxfId="866" priority="324">
      <formula>IF(VLOOKUP($BE$3,optionalAttributePTDMap,MATCH($A14,attributeMapFeedProductType,0)+1,FALSE)&gt;0,1,0)</formula>
    </cfRule>
    <cfRule type="expression" dxfId="865" priority="325">
      <formula>IF(VLOOKUP($BE$3,preferredAttributePTDMap,MATCH($A14,attributeMapFeedProductType,0)+1,FALSE)&gt;0,1,0)</formula>
    </cfRule>
    <cfRule type="expression" dxfId="864" priority="326">
      <formula>AND(IF(IFERROR(VLOOKUP($BE$3,requiredAttributePTDMap,MATCH($A14,attributeMapFeedProductType,0)+1,FALSE),0)&gt;0,0,1),IF(IFERROR(VLOOKUP($BE$3,optionalAttributePTDMap,MATCH($A14,attributeMapFeedProductType,0)+1,FALSE),0)&gt;0,0,1),IF(IFERROR(VLOOKUP($BE$3,preferredAttributePTDMap,MATCH($A14,attributeMapFeedProductType,0)+1,FALSE),0)&gt;0,0,1),IF(IFERROR(MATCH($A14,attributeMapFeedProductType,0),0)&gt;0,1,0))</formula>
    </cfRule>
  </conditionalFormatting>
  <conditionalFormatting sqref="BF14:BF17">
    <cfRule type="expression" dxfId="863" priority="327">
      <formula>IF(LEN(BF14)&gt;0,1,0)</formula>
    </cfRule>
    <cfRule type="expression" dxfId="862" priority="328">
      <formula>IF(VLOOKUP($BF$3,requiredAttributePTDMap,MATCH($A14,attributeMapFeedProductType,0)+1,FALSE)&gt;0,1,0)</formula>
    </cfRule>
    <cfRule type="expression" dxfId="861" priority="329">
      <formula>IF(VLOOKUP($BF$3,optionalAttributePTDMap,MATCH($A14,attributeMapFeedProductType,0)+1,FALSE)&gt;0,1,0)</formula>
    </cfRule>
    <cfRule type="expression" dxfId="860" priority="330">
      <formula>IF(VLOOKUP($BF$3,preferredAttributePTDMap,MATCH($A14,attributeMapFeedProductType,0)+1,FALSE)&gt;0,1,0)</formula>
    </cfRule>
    <cfRule type="expression" dxfId="859" priority="331">
      <formula>AND(IF(IFERROR(VLOOKUP($BF$3,requiredAttributePTDMap,MATCH($A14,attributeMapFeedProductType,0)+1,FALSE),0)&gt;0,0,1),IF(IFERROR(VLOOKUP($BF$3,optionalAttributePTDMap,MATCH($A14,attributeMapFeedProductType,0)+1,FALSE),0)&gt;0,0,1),IF(IFERROR(VLOOKUP($BF$3,preferredAttributePTDMap,MATCH($A14,attributeMapFeedProductType,0)+1,FALSE),0)&gt;0,0,1),IF(IFERROR(MATCH($A14,attributeMapFeedProductType,0),0)&gt;0,1,0))</formula>
    </cfRule>
  </conditionalFormatting>
  <conditionalFormatting sqref="BG14:BG17">
    <cfRule type="expression" dxfId="858" priority="332">
      <formula>IF(LEN(BG14)&gt;0,1,0)</formula>
    </cfRule>
    <cfRule type="expression" dxfId="857" priority="333">
      <formula>IF(VLOOKUP($BG$3,requiredAttributePTDMap,MATCH($A14,attributeMapFeedProductType,0)+1,FALSE)&gt;0,1,0)</formula>
    </cfRule>
    <cfRule type="expression" dxfId="856" priority="334">
      <formula>IF(VLOOKUP($BG$3,optionalAttributePTDMap,MATCH($A14,attributeMapFeedProductType,0)+1,FALSE)&gt;0,1,0)</formula>
    </cfRule>
    <cfRule type="expression" dxfId="855" priority="335">
      <formula>IF(VLOOKUP($BG$3,preferredAttributePTDMap,MATCH($A14,attributeMapFeedProductType,0)+1,FALSE)&gt;0,1,0)</formula>
    </cfRule>
    <cfRule type="expression" dxfId="854" priority="336">
      <formula>AND(IF(IFERROR(VLOOKUP($BG$3,requiredAttributePTDMap,MATCH($A14,attributeMapFeedProductType,0)+1,FALSE),0)&gt;0,0,1),IF(IFERROR(VLOOKUP($BG$3,optionalAttributePTDMap,MATCH($A14,attributeMapFeedProductType,0)+1,FALSE),0)&gt;0,0,1),IF(IFERROR(VLOOKUP($BG$3,preferredAttributePTDMap,MATCH($A14,attributeMapFeedProductType,0)+1,FALSE),0)&gt;0,0,1),IF(IFERROR(MATCH($A14,attributeMapFeedProductType,0),0)&gt;0,1,0))</formula>
    </cfRule>
  </conditionalFormatting>
  <conditionalFormatting sqref="BH14:BH17">
    <cfRule type="expression" dxfId="853" priority="337">
      <formula>IF(LEN(BH14)&gt;0,1,0)</formula>
    </cfRule>
    <cfRule type="expression" dxfId="852" priority="338">
      <formula>IF(VLOOKUP($BH$3,requiredAttributePTDMap,MATCH($A14,attributeMapFeedProductType,0)+1,FALSE)&gt;0,1,0)</formula>
    </cfRule>
    <cfRule type="expression" dxfId="851" priority="339">
      <formula>IF(VLOOKUP($BH$3,optionalAttributePTDMap,MATCH($A14,attributeMapFeedProductType,0)+1,FALSE)&gt;0,1,0)</formula>
    </cfRule>
    <cfRule type="expression" dxfId="850" priority="340">
      <formula>IF(VLOOKUP($BH$3,preferredAttributePTDMap,MATCH($A14,attributeMapFeedProductType,0)+1,FALSE)&gt;0,1,0)</formula>
    </cfRule>
    <cfRule type="expression" dxfId="849" priority="341">
      <formula>AND(IF(IFERROR(VLOOKUP($BH$3,requiredAttributePTDMap,MATCH($A14,attributeMapFeedProductType,0)+1,FALSE),0)&gt;0,0,1),IF(IFERROR(VLOOKUP($BH$3,optionalAttributePTDMap,MATCH($A14,attributeMapFeedProductType,0)+1,FALSE),0)&gt;0,0,1),IF(IFERROR(VLOOKUP($BH$3,preferredAttributePTDMap,MATCH($A14,attributeMapFeedProductType,0)+1,FALSE),0)&gt;0,0,1),IF(IFERROR(MATCH($A14,attributeMapFeedProductType,0),0)&gt;0,1,0))</formula>
    </cfRule>
  </conditionalFormatting>
  <conditionalFormatting sqref="BI14:BI17">
    <cfRule type="expression" dxfId="848" priority="342">
      <formula>IF(LEN(BI14)&gt;0,1,0)</formula>
    </cfRule>
    <cfRule type="expression" dxfId="847" priority="343">
      <formula>IF(VLOOKUP($BI$3,requiredAttributePTDMap,MATCH($A14,attributeMapFeedProductType,0)+1,FALSE)&gt;0,1,0)</formula>
    </cfRule>
    <cfRule type="expression" dxfId="846" priority="344">
      <formula>IF(VLOOKUP($BI$3,optionalAttributePTDMap,MATCH($A14,attributeMapFeedProductType,0)+1,FALSE)&gt;0,1,0)</formula>
    </cfRule>
    <cfRule type="expression" dxfId="845" priority="345">
      <formula>IF(VLOOKUP($BI$3,preferredAttributePTDMap,MATCH($A14,attributeMapFeedProductType,0)+1,FALSE)&gt;0,1,0)</formula>
    </cfRule>
    <cfRule type="expression" dxfId="844" priority="346">
      <formula>AND(IF(IFERROR(VLOOKUP($BI$3,requiredAttributePTDMap,MATCH($A14,attributeMapFeedProductType,0)+1,FALSE),0)&gt;0,0,1),IF(IFERROR(VLOOKUP($BI$3,optionalAttributePTDMap,MATCH($A14,attributeMapFeedProductType,0)+1,FALSE),0)&gt;0,0,1),IF(IFERROR(VLOOKUP($BI$3,preferredAttributePTDMap,MATCH($A14,attributeMapFeedProductType,0)+1,FALSE),0)&gt;0,0,1),IF(IFERROR(MATCH($A14,attributeMapFeedProductType,0),0)&gt;0,1,0))</formula>
    </cfRule>
  </conditionalFormatting>
  <conditionalFormatting sqref="BJ14:BJ17">
    <cfRule type="expression" dxfId="843" priority="347">
      <formula>IF(LEN(BJ14)&gt;0,1,0)</formula>
    </cfRule>
    <cfRule type="expression" dxfId="842" priority="348">
      <formula>IF(VLOOKUP($BJ$3,requiredAttributePTDMap,MATCH($A14,attributeMapFeedProductType,0)+1,FALSE)&gt;0,1,0)</formula>
    </cfRule>
    <cfRule type="expression" dxfId="841" priority="349">
      <formula>IF(VLOOKUP($BJ$3,optionalAttributePTDMap,MATCH($A14,attributeMapFeedProductType,0)+1,FALSE)&gt;0,1,0)</formula>
    </cfRule>
    <cfRule type="expression" dxfId="840" priority="350">
      <formula>IF(VLOOKUP($BJ$3,preferredAttributePTDMap,MATCH($A14,attributeMapFeedProductType,0)+1,FALSE)&gt;0,1,0)</formula>
    </cfRule>
    <cfRule type="expression" dxfId="839" priority="351">
      <formula>AND(IF(IFERROR(VLOOKUP($BJ$3,requiredAttributePTDMap,MATCH($A14,attributeMapFeedProductType,0)+1,FALSE),0)&gt;0,0,1),IF(IFERROR(VLOOKUP($BJ$3,optionalAttributePTDMap,MATCH($A14,attributeMapFeedProductType,0)+1,FALSE),0)&gt;0,0,1),IF(IFERROR(VLOOKUP($BJ$3,preferredAttributePTDMap,MATCH($A14,attributeMapFeedProductType,0)+1,FALSE),0)&gt;0,0,1),IF(IFERROR(MATCH($A14,attributeMapFeedProductType,0),0)&gt;0,1,0))</formula>
    </cfRule>
  </conditionalFormatting>
  <conditionalFormatting sqref="BK14:BK17">
    <cfRule type="expression" dxfId="838" priority="352">
      <formula>IF(LEN(BK14)&gt;0,1,0)</formula>
    </cfRule>
    <cfRule type="expression" dxfId="837" priority="353">
      <formula>IF(VLOOKUP($BK$3,requiredAttributePTDMap,MATCH($A14,attributeMapFeedProductType,0)+1,FALSE)&gt;0,1,0)</formula>
    </cfRule>
    <cfRule type="expression" dxfId="836" priority="354">
      <formula>IF(VLOOKUP($BK$3,optionalAttributePTDMap,MATCH($A14,attributeMapFeedProductType,0)+1,FALSE)&gt;0,1,0)</formula>
    </cfRule>
    <cfRule type="expression" dxfId="835" priority="355">
      <formula>IF(VLOOKUP($BK$3,preferredAttributePTDMap,MATCH($A14,attributeMapFeedProductType,0)+1,FALSE)&gt;0,1,0)</formula>
    </cfRule>
    <cfRule type="expression" dxfId="834" priority="356">
      <formula>AND(IF(IFERROR(VLOOKUP($BK$3,requiredAttributePTDMap,MATCH($A14,attributeMapFeedProductType,0)+1,FALSE),0)&gt;0,0,1),IF(IFERROR(VLOOKUP($BK$3,optionalAttributePTDMap,MATCH($A14,attributeMapFeedProductType,0)+1,FALSE),0)&gt;0,0,1),IF(IFERROR(VLOOKUP($BK$3,preferredAttributePTDMap,MATCH($A14,attributeMapFeedProductType,0)+1,FALSE),0)&gt;0,0,1),IF(IFERROR(MATCH($A14,attributeMapFeedProductType,0),0)&gt;0,1,0))</formula>
    </cfRule>
  </conditionalFormatting>
  <conditionalFormatting sqref="BL14:BL17">
    <cfRule type="expression" dxfId="833" priority="357">
      <formula>IF(LEN(BL14)&gt;0,1,0)</formula>
    </cfRule>
    <cfRule type="expression" dxfId="832" priority="358">
      <formula>IF(VLOOKUP($BL$3,requiredAttributePTDMap,MATCH($A14,attributeMapFeedProductType,0)+1,FALSE)&gt;0,1,0)</formula>
    </cfRule>
    <cfRule type="expression" dxfId="831" priority="359">
      <formula>IF(VLOOKUP($BL$3,optionalAttributePTDMap,MATCH($A14,attributeMapFeedProductType,0)+1,FALSE)&gt;0,1,0)</formula>
    </cfRule>
    <cfRule type="expression" dxfId="830" priority="360">
      <formula>IF(VLOOKUP($BL$3,preferredAttributePTDMap,MATCH($A14,attributeMapFeedProductType,0)+1,FALSE)&gt;0,1,0)</formula>
    </cfRule>
    <cfRule type="expression" dxfId="829" priority="361">
      <formula>AND(IF(IFERROR(VLOOKUP($BL$3,requiredAttributePTDMap,MATCH($A14,attributeMapFeedProductType,0)+1,FALSE),0)&gt;0,0,1),IF(IFERROR(VLOOKUP($BL$3,optionalAttributePTDMap,MATCH($A14,attributeMapFeedProductType,0)+1,FALSE),0)&gt;0,0,1),IF(IFERROR(VLOOKUP($BL$3,preferredAttributePTDMap,MATCH($A14,attributeMapFeedProductType,0)+1,FALSE),0)&gt;0,0,1),IF(IFERROR(MATCH($A14,attributeMapFeedProductType,0),0)&gt;0,1,0))</formula>
    </cfRule>
  </conditionalFormatting>
  <conditionalFormatting sqref="BM14:BM17">
    <cfRule type="expression" dxfId="828" priority="362">
      <formula>IF(LEN(BM14)&gt;0,1,0)</formula>
    </cfRule>
    <cfRule type="expression" dxfId="827" priority="363">
      <formula>IF(VLOOKUP($BM$3,requiredAttributePTDMap,MATCH($A14,attributeMapFeedProductType,0)+1,FALSE)&gt;0,1,0)</formula>
    </cfRule>
    <cfRule type="expression" dxfId="826" priority="364">
      <formula>IF(VLOOKUP($BM$3,optionalAttributePTDMap,MATCH($A14,attributeMapFeedProductType,0)+1,FALSE)&gt;0,1,0)</formula>
    </cfRule>
    <cfRule type="expression" dxfId="825" priority="365">
      <formula>IF(VLOOKUP($BM$3,preferredAttributePTDMap,MATCH($A14,attributeMapFeedProductType,0)+1,FALSE)&gt;0,1,0)</formula>
    </cfRule>
    <cfRule type="expression" dxfId="824" priority="366">
      <formula>AND(IF(IFERROR(VLOOKUP($BM$3,requiredAttributePTDMap,MATCH($A14,attributeMapFeedProductType,0)+1,FALSE),0)&gt;0,0,1),IF(IFERROR(VLOOKUP($BM$3,optionalAttributePTDMap,MATCH($A14,attributeMapFeedProductType,0)+1,FALSE),0)&gt;0,0,1),IF(IFERROR(VLOOKUP($BM$3,preferredAttributePTDMap,MATCH($A14,attributeMapFeedProductType,0)+1,FALSE),0)&gt;0,0,1),IF(IFERROR(MATCH($A14,attributeMapFeedProductType,0),0)&gt;0,1,0))</formula>
    </cfRule>
  </conditionalFormatting>
  <conditionalFormatting sqref="BN14:BN17">
    <cfRule type="expression" dxfId="823" priority="367">
      <formula>IF(LEN(BN14)&gt;0,1,0)</formula>
    </cfRule>
    <cfRule type="expression" dxfId="822" priority="368">
      <formula>IF(VLOOKUP($BN$3,requiredAttributePTDMap,MATCH($A14,attributeMapFeedProductType,0)+1,FALSE)&gt;0,1,0)</formula>
    </cfRule>
    <cfRule type="expression" dxfId="821" priority="369">
      <formula>IF(VLOOKUP($BN$3,optionalAttributePTDMap,MATCH($A14,attributeMapFeedProductType,0)+1,FALSE)&gt;0,1,0)</formula>
    </cfRule>
    <cfRule type="expression" dxfId="820" priority="370">
      <formula>IF(VLOOKUP($BN$3,preferredAttributePTDMap,MATCH($A14,attributeMapFeedProductType,0)+1,FALSE)&gt;0,1,0)</formula>
    </cfRule>
    <cfRule type="expression" dxfId="819" priority="371">
      <formula>AND(IF(IFERROR(VLOOKUP($BN$3,requiredAttributePTDMap,MATCH($A14,attributeMapFeedProductType,0)+1,FALSE),0)&gt;0,0,1),IF(IFERROR(VLOOKUP($BN$3,optionalAttributePTDMap,MATCH($A14,attributeMapFeedProductType,0)+1,FALSE),0)&gt;0,0,1),IF(IFERROR(VLOOKUP($BN$3,preferredAttributePTDMap,MATCH($A14,attributeMapFeedProductType,0)+1,FALSE),0)&gt;0,0,1),IF(IFERROR(MATCH($A14,attributeMapFeedProductType,0),0)&gt;0,1,0))</formula>
    </cfRule>
  </conditionalFormatting>
  <conditionalFormatting sqref="BO14:BO17">
    <cfRule type="expression" dxfId="818" priority="372">
      <formula>IF(LEN(BO14)&gt;0,1,0)</formula>
    </cfRule>
    <cfRule type="expression" dxfId="817" priority="373">
      <formula>IF(VLOOKUP($BO$3,requiredAttributePTDMap,MATCH($A14,attributeMapFeedProductType,0)+1,FALSE)&gt;0,1,0)</formula>
    </cfRule>
    <cfRule type="expression" dxfId="816" priority="374">
      <formula>IF(VLOOKUP($BO$3,optionalAttributePTDMap,MATCH($A14,attributeMapFeedProductType,0)+1,FALSE)&gt;0,1,0)</formula>
    </cfRule>
    <cfRule type="expression" dxfId="815" priority="375">
      <formula>IF(VLOOKUP($BO$3,preferredAttributePTDMap,MATCH($A14,attributeMapFeedProductType,0)+1,FALSE)&gt;0,1,0)</formula>
    </cfRule>
    <cfRule type="expression" dxfId="814" priority="376">
      <formula>AND(IF(IFERROR(VLOOKUP($BO$3,requiredAttributePTDMap,MATCH($A14,attributeMapFeedProductType,0)+1,FALSE),0)&gt;0,0,1),IF(IFERROR(VLOOKUP($BO$3,optionalAttributePTDMap,MATCH($A14,attributeMapFeedProductType,0)+1,FALSE),0)&gt;0,0,1),IF(IFERROR(VLOOKUP($BO$3,preferredAttributePTDMap,MATCH($A14,attributeMapFeedProductType,0)+1,FALSE),0)&gt;0,0,1),IF(IFERROR(MATCH($A14,attributeMapFeedProductType,0),0)&gt;0,1,0))</formula>
    </cfRule>
  </conditionalFormatting>
  <conditionalFormatting sqref="BP14:BP17">
    <cfRule type="expression" dxfId="813" priority="377">
      <formula>IF(LEN(BP14)&gt;0,1,0)</formula>
    </cfRule>
    <cfRule type="expression" dxfId="812" priority="378">
      <formula>IF(VLOOKUP($BP$3,requiredAttributePTDMap,MATCH($A14,attributeMapFeedProductType,0)+1,FALSE)&gt;0,1,0)</formula>
    </cfRule>
    <cfRule type="expression" dxfId="811" priority="379">
      <formula>IF(VLOOKUP($BP$3,optionalAttributePTDMap,MATCH($A14,attributeMapFeedProductType,0)+1,FALSE)&gt;0,1,0)</formula>
    </cfRule>
    <cfRule type="expression" dxfId="810" priority="380">
      <formula>IF(VLOOKUP($BP$3,preferredAttributePTDMap,MATCH($A14,attributeMapFeedProductType,0)+1,FALSE)&gt;0,1,0)</formula>
    </cfRule>
    <cfRule type="expression" dxfId="809" priority="381">
      <formula>AND(IF(IFERROR(VLOOKUP($BP$3,requiredAttributePTDMap,MATCH($A14,attributeMapFeedProductType,0)+1,FALSE),0)&gt;0,0,1),IF(IFERROR(VLOOKUP($BP$3,optionalAttributePTDMap,MATCH($A14,attributeMapFeedProductType,0)+1,FALSE),0)&gt;0,0,1),IF(IFERROR(VLOOKUP($BP$3,preferredAttributePTDMap,MATCH($A14,attributeMapFeedProductType,0)+1,FALSE),0)&gt;0,0,1),IF(IFERROR(MATCH($A14,attributeMapFeedProductType,0),0)&gt;0,1,0))</formula>
    </cfRule>
  </conditionalFormatting>
  <conditionalFormatting sqref="BQ14:BQ17">
    <cfRule type="expression" dxfId="808" priority="382">
      <formula>IF(LEN(BQ14)&gt;0,1,0)</formula>
    </cfRule>
    <cfRule type="expression" dxfId="807" priority="383">
      <formula>IF(VLOOKUP($BQ$3,requiredAttributePTDMap,MATCH($A14,attributeMapFeedProductType,0)+1,FALSE)&gt;0,1,0)</formula>
    </cfRule>
    <cfRule type="expression" dxfId="806" priority="384">
      <formula>IF(VLOOKUP($BQ$3,optionalAttributePTDMap,MATCH($A14,attributeMapFeedProductType,0)+1,FALSE)&gt;0,1,0)</formula>
    </cfRule>
    <cfRule type="expression" dxfId="805" priority="385">
      <formula>IF(VLOOKUP($BQ$3,preferredAttributePTDMap,MATCH($A14,attributeMapFeedProductType,0)+1,FALSE)&gt;0,1,0)</formula>
    </cfRule>
    <cfRule type="expression" dxfId="804" priority="386">
      <formula>AND(IF(IFERROR(VLOOKUP($BQ$3,requiredAttributePTDMap,MATCH($A14,attributeMapFeedProductType,0)+1,FALSE),0)&gt;0,0,1),IF(IFERROR(VLOOKUP($BQ$3,optionalAttributePTDMap,MATCH($A14,attributeMapFeedProductType,0)+1,FALSE),0)&gt;0,0,1),IF(IFERROR(VLOOKUP($BQ$3,preferredAttributePTDMap,MATCH($A14,attributeMapFeedProductType,0)+1,FALSE),0)&gt;0,0,1),IF(IFERROR(MATCH($A14,attributeMapFeedProductType,0),0)&gt;0,1,0))</formula>
    </cfRule>
  </conditionalFormatting>
  <conditionalFormatting sqref="BR14:BR17">
    <cfRule type="expression" dxfId="803" priority="387">
      <formula>IF(LEN(BR14)&gt;0,1,0)</formula>
    </cfRule>
    <cfRule type="expression" dxfId="802" priority="388">
      <formula>IF(VLOOKUP($BR$3,requiredAttributePTDMap,MATCH($A14,attributeMapFeedProductType,0)+1,FALSE)&gt;0,1,0)</formula>
    </cfRule>
    <cfRule type="expression" dxfId="801" priority="389">
      <formula>IF(VLOOKUP($BR$3,optionalAttributePTDMap,MATCH($A14,attributeMapFeedProductType,0)+1,FALSE)&gt;0,1,0)</formula>
    </cfRule>
    <cfRule type="expression" dxfId="800" priority="390">
      <formula>IF(VLOOKUP($BR$3,preferredAttributePTDMap,MATCH($A14,attributeMapFeedProductType,0)+1,FALSE)&gt;0,1,0)</formula>
    </cfRule>
    <cfRule type="expression" dxfId="799" priority="391">
      <formula>AND(IF(IFERROR(VLOOKUP($BR$3,requiredAttributePTDMap,MATCH($A14,attributeMapFeedProductType,0)+1,FALSE),0)&gt;0,0,1),IF(IFERROR(VLOOKUP($BR$3,optionalAttributePTDMap,MATCH($A14,attributeMapFeedProductType,0)+1,FALSE),0)&gt;0,0,1),IF(IFERROR(VLOOKUP($BR$3,preferredAttributePTDMap,MATCH($A14,attributeMapFeedProductType,0)+1,FALSE),0)&gt;0,0,1),IF(IFERROR(MATCH($A14,attributeMapFeedProductType,0),0)&gt;0,1,0))</formula>
    </cfRule>
  </conditionalFormatting>
  <conditionalFormatting sqref="BS14:BS17">
    <cfRule type="expression" dxfId="798" priority="392">
      <formula>IF(LEN(BS14)&gt;0,1,0)</formula>
    </cfRule>
    <cfRule type="expression" dxfId="797" priority="393">
      <formula>IF(VLOOKUP($BS$3,requiredAttributePTDMap,MATCH($A14,attributeMapFeedProductType,0)+1,FALSE)&gt;0,1,0)</formula>
    </cfRule>
    <cfRule type="expression" dxfId="796" priority="394">
      <formula>IF(VLOOKUP($BS$3,optionalAttributePTDMap,MATCH($A14,attributeMapFeedProductType,0)+1,FALSE)&gt;0,1,0)</formula>
    </cfRule>
    <cfRule type="expression" dxfId="795" priority="395">
      <formula>IF(VLOOKUP($BS$3,preferredAttributePTDMap,MATCH($A14,attributeMapFeedProductType,0)+1,FALSE)&gt;0,1,0)</formula>
    </cfRule>
    <cfRule type="expression" dxfId="794" priority="396">
      <formula>AND(IF(IFERROR(VLOOKUP($BS$3,requiredAttributePTDMap,MATCH($A14,attributeMapFeedProductType,0)+1,FALSE),0)&gt;0,0,1),IF(IFERROR(VLOOKUP($BS$3,optionalAttributePTDMap,MATCH($A14,attributeMapFeedProductType,0)+1,FALSE),0)&gt;0,0,1),IF(IFERROR(VLOOKUP($BS$3,preferredAttributePTDMap,MATCH($A14,attributeMapFeedProductType,0)+1,FALSE),0)&gt;0,0,1),IF(IFERROR(MATCH($A14,attributeMapFeedProductType,0),0)&gt;0,1,0))</formula>
    </cfRule>
  </conditionalFormatting>
  <conditionalFormatting sqref="BT14:BT17">
    <cfRule type="expression" dxfId="793" priority="397">
      <formula>IF(LEN(BT14)&gt;0,1,0)</formula>
    </cfRule>
    <cfRule type="expression" dxfId="792" priority="398">
      <formula>IF(VLOOKUP($BT$3,requiredAttributePTDMap,MATCH($A14,attributeMapFeedProductType,0)+1,FALSE)&gt;0,1,0)</formula>
    </cfRule>
    <cfRule type="expression" dxfId="791" priority="399">
      <formula>IF(VLOOKUP($BT$3,optionalAttributePTDMap,MATCH($A14,attributeMapFeedProductType,0)+1,FALSE)&gt;0,1,0)</formula>
    </cfRule>
    <cfRule type="expression" dxfId="790" priority="400">
      <formula>IF(VLOOKUP($BT$3,preferredAttributePTDMap,MATCH($A14,attributeMapFeedProductType,0)+1,FALSE)&gt;0,1,0)</formula>
    </cfRule>
    <cfRule type="expression" dxfId="789" priority="401">
      <formula>AND(IF(IFERROR(VLOOKUP($BT$3,requiredAttributePTDMap,MATCH($A14,attributeMapFeedProductType,0)+1,FALSE),0)&gt;0,0,1),IF(IFERROR(VLOOKUP($BT$3,optionalAttributePTDMap,MATCH($A14,attributeMapFeedProductType,0)+1,FALSE),0)&gt;0,0,1),IF(IFERROR(VLOOKUP($BT$3,preferredAttributePTDMap,MATCH($A14,attributeMapFeedProductType,0)+1,FALSE),0)&gt;0,0,1),IF(IFERROR(MATCH($A14,attributeMapFeedProductType,0),0)&gt;0,1,0))</formula>
    </cfRule>
  </conditionalFormatting>
  <conditionalFormatting sqref="BU14:BU17">
    <cfRule type="expression" dxfId="788" priority="402">
      <formula>IF(LEN(BU14)&gt;0,1,0)</formula>
    </cfRule>
    <cfRule type="expression" dxfId="787" priority="403">
      <formula>IF(VLOOKUP($BU$3,requiredAttributePTDMap,MATCH($A14,attributeMapFeedProductType,0)+1,FALSE)&gt;0,1,0)</formula>
    </cfRule>
    <cfRule type="expression" dxfId="786" priority="404">
      <formula>IF(VLOOKUP($BU$3,optionalAttributePTDMap,MATCH($A14,attributeMapFeedProductType,0)+1,FALSE)&gt;0,1,0)</formula>
    </cfRule>
    <cfRule type="expression" dxfId="785" priority="405">
      <formula>IF(VLOOKUP($BU$3,preferredAttributePTDMap,MATCH($A14,attributeMapFeedProductType,0)+1,FALSE)&gt;0,1,0)</formula>
    </cfRule>
    <cfRule type="expression" dxfId="784" priority="406">
      <formula>AND(IF(IFERROR(VLOOKUP($BU$3,requiredAttributePTDMap,MATCH($A14,attributeMapFeedProductType,0)+1,FALSE),0)&gt;0,0,1),IF(IFERROR(VLOOKUP($BU$3,optionalAttributePTDMap,MATCH($A14,attributeMapFeedProductType,0)+1,FALSE),0)&gt;0,0,1),IF(IFERROR(VLOOKUP($BU$3,preferredAttributePTDMap,MATCH($A14,attributeMapFeedProductType,0)+1,FALSE),0)&gt;0,0,1),IF(IFERROR(MATCH($A14,attributeMapFeedProductType,0),0)&gt;0,1,0))</formula>
    </cfRule>
  </conditionalFormatting>
  <conditionalFormatting sqref="BV14:BV17">
    <cfRule type="expression" dxfId="783" priority="407">
      <formula>IF(LEN(BV14)&gt;0,1,0)</formula>
    </cfRule>
    <cfRule type="expression" dxfId="782" priority="408">
      <formula>IF(VLOOKUP($BV$3,requiredAttributePTDMap,MATCH($A14,attributeMapFeedProductType,0)+1,FALSE)&gt;0,1,0)</formula>
    </cfRule>
    <cfRule type="expression" dxfId="781" priority="409">
      <formula>IF(VLOOKUP($BV$3,optionalAttributePTDMap,MATCH($A14,attributeMapFeedProductType,0)+1,FALSE)&gt;0,1,0)</formula>
    </cfRule>
    <cfRule type="expression" dxfId="780" priority="410">
      <formula>IF(VLOOKUP($BV$3,preferredAttributePTDMap,MATCH($A14,attributeMapFeedProductType,0)+1,FALSE)&gt;0,1,0)</formula>
    </cfRule>
    <cfRule type="expression" dxfId="779" priority="411">
      <formula>AND(IF(IFERROR(VLOOKUP($BV$3,requiredAttributePTDMap,MATCH($A14,attributeMapFeedProductType,0)+1,FALSE),0)&gt;0,0,1),IF(IFERROR(VLOOKUP($BV$3,optionalAttributePTDMap,MATCH($A14,attributeMapFeedProductType,0)+1,FALSE),0)&gt;0,0,1),IF(IFERROR(VLOOKUP($BV$3,preferredAttributePTDMap,MATCH($A14,attributeMapFeedProductType,0)+1,FALSE),0)&gt;0,0,1),IF(IFERROR(MATCH($A14,attributeMapFeedProductType,0),0)&gt;0,1,0))</formula>
    </cfRule>
  </conditionalFormatting>
  <conditionalFormatting sqref="BW14:BW17">
    <cfRule type="expression" dxfId="778" priority="412">
      <formula>IF(LEN(BW14)&gt;0,1,0)</formula>
    </cfRule>
    <cfRule type="expression" dxfId="777" priority="413">
      <formula>IF(VLOOKUP($BW$3,requiredAttributePTDMap,MATCH($A14,attributeMapFeedProductType,0)+1,FALSE)&gt;0,1,0)</formula>
    </cfRule>
    <cfRule type="expression" dxfId="776" priority="414">
      <formula>IF(VLOOKUP($BW$3,optionalAttributePTDMap,MATCH($A14,attributeMapFeedProductType,0)+1,FALSE)&gt;0,1,0)</formula>
    </cfRule>
    <cfRule type="expression" dxfId="775" priority="415">
      <formula>IF(VLOOKUP($BW$3,preferredAttributePTDMap,MATCH($A14,attributeMapFeedProductType,0)+1,FALSE)&gt;0,1,0)</formula>
    </cfRule>
    <cfRule type="expression" dxfId="774" priority="416">
      <formula>AND(IF(IFERROR(VLOOKUP($BW$3,requiredAttributePTDMap,MATCH($A14,attributeMapFeedProductType,0)+1,FALSE),0)&gt;0,0,1),IF(IFERROR(VLOOKUP($BW$3,optionalAttributePTDMap,MATCH($A14,attributeMapFeedProductType,0)+1,FALSE),0)&gt;0,0,1),IF(IFERROR(VLOOKUP($BW$3,preferredAttributePTDMap,MATCH($A14,attributeMapFeedProductType,0)+1,FALSE),0)&gt;0,0,1),IF(IFERROR(MATCH($A14,attributeMapFeedProductType,0),0)&gt;0,1,0))</formula>
    </cfRule>
  </conditionalFormatting>
  <conditionalFormatting sqref="BX14:BX17">
    <cfRule type="expression" dxfId="773" priority="417">
      <formula>IF(LEN(BX14)&gt;0,1,0)</formula>
    </cfRule>
    <cfRule type="expression" dxfId="772" priority="418">
      <formula>IF(VLOOKUP($BX$3,requiredAttributePTDMap,MATCH($A14,attributeMapFeedProductType,0)+1,FALSE)&gt;0,1,0)</formula>
    </cfRule>
    <cfRule type="expression" dxfId="771" priority="419">
      <formula>IF(VLOOKUP($BX$3,optionalAttributePTDMap,MATCH($A14,attributeMapFeedProductType,0)+1,FALSE)&gt;0,1,0)</formula>
    </cfRule>
    <cfRule type="expression" dxfId="770" priority="420">
      <formula>IF(VLOOKUP($BX$3,preferredAttributePTDMap,MATCH($A14,attributeMapFeedProductType,0)+1,FALSE)&gt;0,1,0)</formula>
    </cfRule>
    <cfRule type="expression" dxfId="769" priority="421">
      <formula>AND(IF(IFERROR(VLOOKUP($BX$3,requiredAttributePTDMap,MATCH($A14,attributeMapFeedProductType,0)+1,FALSE),0)&gt;0,0,1),IF(IFERROR(VLOOKUP($BX$3,optionalAttributePTDMap,MATCH($A14,attributeMapFeedProductType,0)+1,FALSE),0)&gt;0,0,1),IF(IFERROR(VLOOKUP($BX$3,preferredAttributePTDMap,MATCH($A14,attributeMapFeedProductType,0)+1,FALSE),0)&gt;0,0,1),IF(IFERROR(MATCH($A14,attributeMapFeedProductType,0),0)&gt;0,1,0))</formula>
    </cfRule>
  </conditionalFormatting>
  <conditionalFormatting sqref="BY14:BY17">
    <cfRule type="expression" dxfId="768" priority="422">
      <formula>IF(LEN(BY14)&gt;0,1,0)</formula>
    </cfRule>
    <cfRule type="expression" dxfId="767" priority="423">
      <formula>IF(VLOOKUP($BY$3,requiredAttributePTDMap,MATCH($A14,attributeMapFeedProductType,0)+1,FALSE)&gt;0,1,0)</formula>
    </cfRule>
    <cfRule type="expression" dxfId="766" priority="424">
      <formula>IF(VLOOKUP($BY$3,optionalAttributePTDMap,MATCH($A14,attributeMapFeedProductType,0)+1,FALSE)&gt;0,1,0)</formula>
    </cfRule>
    <cfRule type="expression" dxfId="765" priority="425">
      <formula>IF(VLOOKUP($BY$3,preferredAttributePTDMap,MATCH($A14,attributeMapFeedProductType,0)+1,FALSE)&gt;0,1,0)</formula>
    </cfRule>
    <cfRule type="expression" dxfId="764" priority="426">
      <formula>AND(IF(IFERROR(VLOOKUP($BY$3,requiredAttributePTDMap,MATCH($A14,attributeMapFeedProductType,0)+1,FALSE),0)&gt;0,0,1),IF(IFERROR(VLOOKUP($BY$3,optionalAttributePTDMap,MATCH($A14,attributeMapFeedProductType,0)+1,FALSE),0)&gt;0,0,1),IF(IFERROR(VLOOKUP($BY$3,preferredAttributePTDMap,MATCH($A14,attributeMapFeedProductType,0)+1,FALSE),0)&gt;0,0,1),IF(IFERROR(MATCH($A14,attributeMapFeedProductType,0),0)&gt;0,1,0))</formula>
    </cfRule>
  </conditionalFormatting>
  <conditionalFormatting sqref="BZ14:BZ17">
    <cfRule type="expression" dxfId="763" priority="427">
      <formula>IF(LEN(BZ14)&gt;0,1,0)</formula>
    </cfRule>
    <cfRule type="expression" dxfId="762" priority="428">
      <formula>IF(VLOOKUP($BZ$3,requiredAttributePTDMap,MATCH($A14,attributeMapFeedProductType,0)+1,FALSE)&gt;0,1,0)</formula>
    </cfRule>
    <cfRule type="expression" dxfId="761" priority="429">
      <formula>IF(VLOOKUP($BZ$3,optionalAttributePTDMap,MATCH($A14,attributeMapFeedProductType,0)+1,FALSE)&gt;0,1,0)</formula>
    </cfRule>
    <cfRule type="expression" dxfId="760" priority="430">
      <formula>IF(VLOOKUP($BZ$3,preferredAttributePTDMap,MATCH($A14,attributeMapFeedProductType,0)+1,FALSE)&gt;0,1,0)</formula>
    </cfRule>
    <cfRule type="expression" dxfId="759" priority="431">
      <formula>AND(IF(IFERROR(VLOOKUP($BZ$3,requiredAttributePTDMap,MATCH($A14,attributeMapFeedProductType,0)+1,FALSE),0)&gt;0,0,1),IF(IFERROR(VLOOKUP($BZ$3,optionalAttributePTDMap,MATCH($A14,attributeMapFeedProductType,0)+1,FALSE),0)&gt;0,0,1),IF(IFERROR(VLOOKUP($BZ$3,preferredAttributePTDMap,MATCH($A14,attributeMapFeedProductType,0)+1,FALSE),0)&gt;0,0,1),IF(IFERROR(MATCH($A14,attributeMapFeedProductType,0),0)&gt;0,1,0))</formula>
    </cfRule>
  </conditionalFormatting>
  <conditionalFormatting sqref="CA14:CA17">
    <cfRule type="expression" dxfId="758" priority="432">
      <formula>IF(LEN(CA14)&gt;0,1,0)</formula>
    </cfRule>
    <cfRule type="expression" dxfId="757" priority="433">
      <formula>IF(VLOOKUP($CA$3,requiredAttributePTDMap,MATCH($A14,attributeMapFeedProductType,0)+1,FALSE)&gt;0,1,0)</formula>
    </cfRule>
    <cfRule type="expression" dxfId="756" priority="434">
      <formula>IF(VLOOKUP($CA$3,optionalAttributePTDMap,MATCH($A14,attributeMapFeedProductType,0)+1,FALSE)&gt;0,1,0)</formula>
    </cfRule>
    <cfRule type="expression" dxfId="755" priority="435">
      <formula>IF(VLOOKUP($CA$3,preferredAttributePTDMap,MATCH($A14,attributeMapFeedProductType,0)+1,FALSE)&gt;0,1,0)</formula>
    </cfRule>
    <cfRule type="expression" dxfId="754" priority="436">
      <formula>AND(IF(IFERROR(VLOOKUP($CA$3,requiredAttributePTDMap,MATCH($A14,attributeMapFeedProductType,0)+1,FALSE),0)&gt;0,0,1),IF(IFERROR(VLOOKUP($CA$3,optionalAttributePTDMap,MATCH($A14,attributeMapFeedProductType,0)+1,FALSE),0)&gt;0,0,1),IF(IFERROR(VLOOKUP($CA$3,preferredAttributePTDMap,MATCH($A14,attributeMapFeedProductType,0)+1,FALSE),0)&gt;0,0,1),IF(IFERROR(MATCH($A14,attributeMapFeedProductType,0),0)&gt;0,1,0))</formula>
    </cfRule>
  </conditionalFormatting>
  <conditionalFormatting sqref="CB14:CB17">
    <cfRule type="expression" dxfId="753" priority="437">
      <formula>IF(LEN(CB14)&gt;0,1,0)</formula>
    </cfRule>
    <cfRule type="expression" dxfId="752" priority="438">
      <formula>IF(VLOOKUP($CB$3,requiredAttributePTDMap,MATCH($A14,attributeMapFeedProductType,0)+1,FALSE)&gt;0,1,0)</formula>
    </cfRule>
    <cfRule type="expression" dxfId="751" priority="439">
      <formula>IF(VLOOKUP($CB$3,optionalAttributePTDMap,MATCH($A14,attributeMapFeedProductType,0)+1,FALSE)&gt;0,1,0)</formula>
    </cfRule>
    <cfRule type="expression" dxfId="750" priority="440">
      <formula>IF(VLOOKUP($CB$3,preferredAttributePTDMap,MATCH($A14,attributeMapFeedProductType,0)+1,FALSE)&gt;0,1,0)</formula>
    </cfRule>
    <cfRule type="expression" dxfId="749" priority="441">
      <formula>AND(IF(IFERROR(VLOOKUP($CB$3,requiredAttributePTDMap,MATCH($A14,attributeMapFeedProductType,0)+1,FALSE),0)&gt;0,0,1),IF(IFERROR(VLOOKUP($CB$3,optionalAttributePTDMap,MATCH($A14,attributeMapFeedProductType,0)+1,FALSE),0)&gt;0,0,1),IF(IFERROR(VLOOKUP($CB$3,preferredAttributePTDMap,MATCH($A14,attributeMapFeedProductType,0)+1,FALSE),0)&gt;0,0,1),IF(IFERROR(MATCH($A14,attributeMapFeedProductType,0),0)&gt;0,1,0))</formula>
    </cfRule>
  </conditionalFormatting>
  <conditionalFormatting sqref="CC14:CC17">
    <cfRule type="expression" dxfId="748" priority="442">
      <formula>IF(LEN(CC14)&gt;0,1,0)</formula>
    </cfRule>
    <cfRule type="expression" dxfId="747" priority="443">
      <formula>IF(VLOOKUP($CC$3,requiredAttributePTDMap,MATCH($A14,attributeMapFeedProductType,0)+1,FALSE)&gt;0,1,0)</formula>
    </cfRule>
    <cfRule type="expression" dxfId="746" priority="444">
      <formula>IF(VLOOKUP($CC$3,optionalAttributePTDMap,MATCH($A14,attributeMapFeedProductType,0)+1,FALSE)&gt;0,1,0)</formula>
    </cfRule>
    <cfRule type="expression" dxfId="745" priority="445">
      <formula>IF(VLOOKUP($CC$3,preferredAttributePTDMap,MATCH($A14,attributeMapFeedProductType,0)+1,FALSE)&gt;0,1,0)</formula>
    </cfRule>
    <cfRule type="expression" dxfId="744" priority="446">
      <formula>AND(IF(IFERROR(VLOOKUP($CC$3,requiredAttributePTDMap,MATCH($A14,attributeMapFeedProductType,0)+1,FALSE),0)&gt;0,0,1),IF(IFERROR(VLOOKUP($CC$3,optionalAttributePTDMap,MATCH($A14,attributeMapFeedProductType,0)+1,FALSE),0)&gt;0,0,1),IF(IFERROR(VLOOKUP($CC$3,preferredAttributePTDMap,MATCH($A14,attributeMapFeedProductType,0)+1,FALSE),0)&gt;0,0,1),IF(IFERROR(MATCH($A14,attributeMapFeedProductType,0),0)&gt;0,1,0))</formula>
    </cfRule>
  </conditionalFormatting>
  <conditionalFormatting sqref="CD14:CD17">
    <cfRule type="expression" dxfId="743" priority="447">
      <formula>IF(LEN(CD14)&gt;0,1,0)</formula>
    </cfRule>
    <cfRule type="expression" dxfId="742" priority="448">
      <formula>IF(VLOOKUP($CD$3,requiredAttributePTDMap,MATCH($A14,attributeMapFeedProductType,0)+1,FALSE)&gt;0,1,0)</formula>
    </cfRule>
    <cfRule type="expression" dxfId="741" priority="449">
      <formula>IF(VLOOKUP($CD$3,optionalAttributePTDMap,MATCH($A14,attributeMapFeedProductType,0)+1,FALSE)&gt;0,1,0)</formula>
    </cfRule>
    <cfRule type="expression" dxfId="740" priority="450">
      <formula>IF(VLOOKUP($CD$3,preferredAttributePTDMap,MATCH($A14,attributeMapFeedProductType,0)+1,FALSE)&gt;0,1,0)</formula>
    </cfRule>
    <cfRule type="expression" dxfId="739" priority="451">
      <formula>AND(IF(IFERROR(VLOOKUP($CD$3,requiredAttributePTDMap,MATCH($A14,attributeMapFeedProductType,0)+1,FALSE),0)&gt;0,0,1),IF(IFERROR(VLOOKUP($CD$3,optionalAttributePTDMap,MATCH($A14,attributeMapFeedProductType,0)+1,FALSE),0)&gt;0,0,1),IF(IFERROR(VLOOKUP($CD$3,preferredAttributePTDMap,MATCH($A14,attributeMapFeedProductType,0)+1,FALSE),0)&gt;0,0,1),IF(IFERROR(MATCH($A14,attributeMapFeedProductType,0),0)&gt;0,1,0))</formula>
    </cfRule>
  </conditionalFormatting>
  <conditionalFormatting sqref="CE14:CE17">
    <cfRule type="expression" dxfId="738" priority="452">
      <formula>IF(LEN(CE14)&gt;0,1,0)</formula>
    </cfRule>
    <cfRule type="expression" dxfId="737" priority="453">
      <formula>IF(VLOOKUP($CE$3,requiredAttributePTDMap,MATCH($A14,attributeMapFeedProductType,0)+1,FALSE)&gt;0,1,0)</formula>
    </cfRule>
    <cfRule type="expression" dxfId="736" priority="454">
      <formula>IF(VLOOKUP($CE$3,optionalAttributePTDMap,MATCH($A14,attributeMapFeedProductType,0)+1,FALSE)&gt;0,1,0)</formula>
    </cfRule>
    <cfRule type="expression" dxfId="735" priority="455">
      <formula>IF(VLOOKUP($CE$3,preferredAttributePTDMap,MATCH($A14,attributeMapFeedProductType,0)+1,FALSE)&gt;0,1,0)</formula>
    </cfRule>
    <cfRule type="expression" dxfId="734" priority="456">
      <formula>AND(IF(IFERROR(VLOOKUP($CE$3,requiredAttributePTDMap,MATCH($A14,attributeMapFeedProductType,0)+1,FALSE),0)&gt;0,0,1),IF(IFERROR(VLOOKUP($CE$3,optionalAttributePTDMap,MATCH($A14,attributeMapFeedProductType,0)+1,FALSE),0)&gt;0,0,1),IF(IFERROR(VLOOKUP($CE$3,preferredAttributePTDMap,MATCH($A14,attributeMapFeedProductType,0)+1,FALSE),0)&gt;0,0,1),IF(IFERROR(MATCH($A14,attributeMapFeedProductType,0),0)&gt;0,1,0))</formula>
    </cfRule>
  </conditionalFormatting>
  <conditionalFormatting sqref="CF14:CF17">
    <cfRule type="expression" dxfId="733" priority="457">
      <formula>IF(LEN(CF14)&gt;0,1,0)</formula>
    </cfRule>
    <cfRule type="expression" dxfId="732" priority="458">
      <formula>IF(VLOOKUP($CF$3,requiredAttributePTDMap,MATCH($A14,attributeMapFeedProductType,0)+1,FALSE)&gt;0,1,0)</formula>
    </cfRule>
    <cfRule type="expression" dxfId="731" priority="459">
      <formula>IF(VLOOKUP($CF$3,optionalAttributePTDMap,MATCH($A14,attributeMapFeedProductType,0)+1,FALSE)&gt;0,1,0)</formula>
    </cfRule>
    <cfRule type="expression" dxfId="730" priority="460">
      <formula>IF(VLOOKUP($CF$3,preferredAttributePTDMap,MATCH($A14,attributeMapFeedProductType,0)+1,FALSE)&gt;0,1,0)</formula>
    </cfRule>
    <cfRule type="expression" dxfId="729" priority="461">
      <formula>AND(IF(IFERROR(VLOOKUP($CF$3,requiredAttributePTDMap,MATCH($A14,attributeMapFeedProductType,0)+1,FALSE),0)&gt;0,0,1),IF(IFERROR(VLOOKUP($CF$3,optionalAttributePTDMap,MATCH($A14,attributeMapFeedProductType,0)+1,FALSE),0)&gt;0,0,1),IF(IFERROR(VLOOKUP($CF$3,preferredAttributePTDMap,MATCH($A14,attributeMapFeedProductType,0)+1,FALSE),0)&gt;0,0,1),IF(IFERROR(MATCH($A14,attributeMapFeedProductType,0),0)&gt;0,1,0))</formula>
    </cfRule>
  </conditionalFormatting>
  <conditionalFormatting sqref="CG14:CG17">
    <cfRule type="expression" dxfId="728" priority="462">
      <formula>IF(LEN(CG14)&gt;0,1,0)</formula>
    </cfRule>
    <cfRule type="expression" dxfId="727" priority="463">
      <formula>IF(VLOOKUP($CG$3,requiredAttributePTDMap,MATCH($A14,attributeMapFeedProductType,0)+1,FALSE)&gt;0,1,0)</formula>
    </cfRule>
    <cfRule type="expression" dxfId="726" priority="464">
      <formula>IF(VLOOKUP($CG$3,optionalAttributePTDMap,MATCH($A14,attributeMapFeedProductType,0)+1,FALSE)&gt;0,1,0)</formula>
    </cfRule>
    <cfRule type="expression" dxfId="725" priority="465">
      <formula>IF(VLOOKUP($CG$3,preferredAttributePTDMap,MATCH($A14,attributeMapFeedProductType,0)+1,FALSE)&gt;0,1,0)</formula>
    </cfRule>
    <cfRule type="expression" dxfId="724" priority="466">
      <formula>AND(IF(IFERROR(VLOOKUP($CG$3,requiredAttributePTDMap,MATCH($A14,attributeMapFeedProductType,0)+1,FALSE),0)&gt;0,0,1),IF(IFERROR(VLOOKUP($CG$3,optionalAttributePTDMap,MATCH($A14,attributeMapFeedProductType,0)+1,FALSE),0)&gt;0,0,1),IF(IFERROR(VLOOKUP($CG$3,preferredAttributePTDMap,MATCH($A14,attributeMapFeedProductType,0)+1,FALSE),0)&gt;0,0,1),IF(IFERROR(MATCH($A14,attributeMapFeedProductType,0),0)&gt;0,1,0))</formula>
    </cfRule>
  </conditionalFormatting>
  <conditionalFormatting sqref="CI14:CI17">
    <cfRule type="expression" dxfId="723" priority="472">
      <formula>IF(LEN(CI14)&gt;0,1,0)</formula>
    </cfRule>
    <cfRule type="expression" dxfId="722" priority="473">
      <formula>IF(VLOOKUP($CI$3,requiredAttributePTDMap,MATCH($A14,attributeMapFeedProductType,0)+1,FALSE)&gt;0,1,0)</formula>
    </cfRule>
    <cfRule type="expression" dxfId="721" priority="474">
      <formula>IF(VLOOKUP($CI$3,optionalAttributePTDMap,MATCH($A14,attributeMapFeedProductType,0)+1,FALSE)&gt;0,1,0)</formula>
    </cfRule>
    <cfRule type="expression" dxfId="720" priority="475">
      <formula>IF(VLOOKUP($CI$3,preferredAttributePTDMap,MATCH($A14,attributeMapFeedProductType,0)+1,FALSE)&gt;0,1,0)</formula>
    </cfRule>
    <cfRule type="expression" dxfId="719" priority="476">
      <formula>AND(IF(IFERROR(VLOOKUP($CI$3,requiredAttributePTDMap,MATCH($A14,attributeMapFeedProductType,0)+1,FALSE),0)&gt;0,0,1),IF(IFERROR(VLOOKUP($CI$3,optionalAttributePTDMap,MATCH($A14,attributeMapFeedProductType,0)+1,FALSE),0)&gt;0,0,1),IF(IFERROR(VLOOKUP($CI$3,preferredAttributePTDMap,MATCH($A14,attributeMapFeedProductType,0)+1,FALSE),0)&gt;0,0,1),IF(IFERROR(MATCH($A14,attributeMapFeedProductType,0),0)&gt;0,1,0))</formula>
    </cfRule>
  </conditionalFormatting>
  <conditionalFormatting sqref="CJ14:CJ17">
    <cfRule type="expression" dxfId="718" priority="477">
      <formula>IF(LEN(CJ14)&gt;0,1,0)</formula>
    </cfRule>
    <cfRule type="expression" dxfId="717" priority="478">
      <formula>IF(VLOOKUP($CJ$3,requiredAttributePTDMap,MATCH($A14,attributeMapFeedProductType,0)+1,FALSE)&gt;0,1,0)</formula>
    </cfRule>
    <cfRule type="expression" dxfId="716" priority="479">
      <formula>IF(VLOOKUP($CJ$3,optionalAttributePTDMap,MATCH($A14,attributeMapFeedProductType,0)+1,FALSE)&gt;0,1,0)</formula>
    </cfRule>
    <cfRule type="expression" dxfId="715" priority="480">
      <formula>IF(VLOOKUP($CJ$3,preferredAttributePTDMap,MATCH($A14,attributeMapFeedProductType,0)+1,FALSE)&gt;0,1,0)</formula>
    </cfRule>
    <cfRule type="expression" dxfId="714" priority="481">
      <formula>AND(IF(IFERROR(VLOOKUP($CJ$3,requiredAttributePTDMap,MATCH($A14,attributeMapFeedProductType,0)+1,FALSE),0)&gt;0,0,1),IF(IFERROR(VLOOKUP($CJ$3,optionalAttributePTDMap,MATCH($A14,attributeMapFeedProductType,0)+1,FALSE),0)&gt;0,0,1),IF(IFERROR(VLOOKUP($CJ$3,preferredAttributePTDMap,MATCH($A14,attributeMapFeedProductType,0)+1,FALSE),0)&gt;0,0,1),IF(IFERROR(MATCH($A14,attributeMapFeedProductType,0),0)&gt;0,1,0))</formula>
    </cfRule>
  </conditionalFormatting>
  <conditionalFormatting sqref="CK14:CK17">
    <cfRule type="expression" dxfId="713" priority="482">
      <formula>IF(LEN(CK14)&gt;0,1,0)</formula>
    </cfRule>
    <cfRule type="expression" dxfId="712" priority="483">
      <formula>IF(VLOOKUP($CK$3,requiredAttributePTDMap,MATCH($A14,attributeMapFeedProductType,0)+1,FALSE)&gt;0,1,0)</formula>
    </cfRule>
    <cfRule type="expression" dxfId="711" priority="484">
      <formula>IF(VLOOKUP($CK$3,optionalAttributePTDMap,MATCH($A14,attributeMapFeedProductType,0)+1,FALSE)&gt;0,1,0)</formula>
    </cfRule>
    <cfRule type="expression" dxfId="710" priority="485">
      <formula>IF(VLOOKUP($CK$3,preferredAttributePTDMap,MATCH($A14,attributeMapFeedProductType,0)+1,FALSE)&gt;0,1,0)</formula>
    </cfRule>
    <cfRule type="expression" dxfId="709" priority="486">
      <formula>AND(IF(IFERROR(VLOOKUP($CK$3,requiredAttributePTDMap,MATCH($A14,attributeMapFeedProductType,0)+1,FALSE),0)&gt;0,0,1),IF(IFERROR(VLOOKUP($CK$3,optionalAttributePTDMap,MATCH($A14,attributeMapFeedProductType,0)+1,FALSE),0)&gt;0,0,1),IF(IFERROR(VLOOKUP($CK$3,preferredAttributePTDMap,MATCH($A14,attributeMapFeedProductType,0)+1,FALSE),0)&gt;0,0,1),IF(IFERROR(MATCH($A14,attributeMapFeedProductType,0),0)&gt;0,1,0))</formula>
    </cfRule>
  </conditionalFormatting>
  <conditionalFormatting sqref="CL14:CL17">
    <cfRule type="expression" dxfId="708" priority="487">
      <formula>IF(LEN(CL14)&gt;0,1,0)</formula>
    </cfRule>
    <cfRule type="expression" dxfId="707" priority="488">
      <formula>IF(VLOOKUP($CL$3,requiredAttributePTDMap,MATCH($A14,attributeMapFeedProductType,0)+1,FALSE)&gt;0,1,0)</formula>
    </cfRule>
    <cfRule type="expression" dxfId="706" priority="489">
      <formula>IF(VLOOKUP($CL$3,optionalAttributePTDMap,MATCH($A14,attributeMapFeedProductType,0)+1,FALSE)&gt;0,1,0)</formula>
    </cfRule>
    <cfRule type="expression" dxfId="705" priority="490">
      <formula>IF(VLOOKUP($CL$3,preferredAttributePTDMap,MATCH($A14,attributeMapFeedProductType,0)+1,FALSE)&gt;0,1,0)</formula>
    </cfRule>
    <cfRule type="expression" dxfId="704" priority="491">
      <formula>AND(IF(IFERROR(VLOOKUP($CL$3,requiredAttributePTDMap,MATCH($A14,attributeMapFeedProductType,0)+1,FALSE),0)&gt;0,0,1),IF(IFERROR(VLOOKUP($CL$3,optionalAttributePTDMap,MATCH($A14,attributeMapFeedProductType,0)+1,FALSE),0)&gt;0,0,1),IF(IFERROR(VLOOKUP($CL$3,preferredAttributePTDMap,MATCH($A14,attributeMapFeedProductType,0)+1,FALSE),0)&gt;0,0,1),IF(IFERROR(MATCH($A14,attributeMapFeedProductType,0),0)&gt;0,1,0))</formula>
    </cfRule>
  </conditionalFormatting>
  <conditionalFormatting sqref="CM14:CM17">
    <cfRule type="expression" dxfId="703" priority="492">
      <formula>IF(LEN(CM14)&gt;0,1,0)</formula>
    </cfRule>
    <cfRule type="expression" dxfId="702" priority="493">
      <formula>IF(VLOOKUP($CM$3,requiredAttributePTDMap,MATCH($A14,attributeMapFeedProductType,0)+1,FALSE)&gt;0,1,0)</formula>
    </cfRule>
    <cfRule type="expression" dxfId="701" priority="494">
      <formula>IF(VLOOKUP($CM$3,optionalAttributePTDMap,MATCH($A14,attributeMapFeedProductType,0)+1,FALSE)&gt;0,1,0)</formula>
    </cfRule>
    <cfRule type="expression" dxfId="700" priority="495">
      <formula>IF(VLOOKUP($CM$3,preferredAttributePTDMap,MATCH($A14,attributeMapFeedProductType,0)+1,FALSE)&gt;0,1,0)</formula>
    </cfRule>
    <cfRule type="expression" dxfId="699" priority="496">
      <formula>AND(IF(IFERROR(VLOOKUP($CM$3,requiredAttributePTDMap,MATCH($A14,attributeMapFeedProductType,0)+1,FALSE),0)&gt;0,0,1),IF(IFERROR(VLOOKUP($CM$3,optionalAttributePTDMap,MATCH($A14,attributeMapFeedProductType,0)+1,FALSE),0)&gt;0,0,1),IF(IFERROR(VLOOKUP($CM$3,preferredAttributePTDMap,MATCH($A14,attributeMapFeedProductType,0)+1,FALSE),0)&gt;0,0,1),IF(IFERROR(MATCH($A14,attributeMapFeedProductType,0),0)&gt;0,1,0))</formula>
    </cfRule>
  </conditionalFormatting>
  <conditionalFormatting sqref="CN14:CN17">
    <cfRule type="expression" dxfId="698" priority="497">
      <formula>IF(LEN(CN14)&gt;0,1,0)</formula>
    </cfRule>
    <cfRule type="expression" dxfId="697" priority="498">
      <formula>IF(VLOOKUP($CN$3,requiredAttributePTDMap,MATCH($A14,attributeMapFeedProductType,0)+1,FALSE)&gt;0,1,0)</formula>
    </cfRule>
    <cfRule type="expression" dxfId="696" priority="499">
      <formula>IF(VLOOKUP($CN$3,optionalAttributePTDMap,MATCH($A14,attributeMapFeedProductType,0)+1,FALSE)&gt;0,1,0)</formula>
    </cfRule>
    <cfRule type="expression" dxfId="695" priority="500">
      <formula>IF(VLOOKUP($CN$3,preferredAttributePTDMap,MATCH($A14,attributeMapFeedProductType,0)+1,FALSE)&gt;0,1,0)</formula>
    </cfRule>
    <cfRule type="expression" dxfId="694" priority="501">
      <formula>AND(IF(IFERROR(VLOOKUP($CN$3,requiredAttributePTDMap,MATCH($A14,attributeMapFeedProductType,0)+1,FALSE),0)&gt;0,0,1),IF(IFERROR(VLOOKUP($CN$3,optionalAttributePTDMap,MATCH($A14,attributeMapFeedProductType,0)+1,FALSE),0)&gt;0,0,1),IF(IFERROR(VLOOKUP($CN$3,preferredAttributePTDMap,MATCH($A14,attributeMapFeedProductType,0)+1,FALSE),0)&gt;0,0,1),IF(IFERROR(MATCH($A14,attributeMapFeedProductType,0),0)&gt;0,1,0))</formula>
    </cfRule>
  </conditionalFormatting>
  <conditionalFormatting sqref="CO14:CO17">
    <cfRule type="expression" dxfId="693" priority="502">
      <formula>IF(LEN(CO14)&gt;0,1,0)</formula>
    </cfRule>
    <cfRule type="expression" dxfId="692" priority="503">
      <formula>IF(VLOOKUP($CO$3,requiredAttributePTDMap,MATCH($A14,attributeMapFeedProductType,0)+1,FALSE)&gt;0,1,0)</formula>
    </cfRule>
    <cfRule type="expression" dxfId="691" priority="504">
      <formula>IF(VLOOKUP($CO$3,optionalAttributePTDMap,MATCH($A14,attributeMapFeedProductType,0)+1,FALSE)&gt;0,1,0)</formula>
    </cfRule>
    <cfRule type="expression" dxfId="690" priority="505">
      <formula>IF(VLOOKUP($CO$3,preferredAttributePTDMap,MATCH($A14,attributeMapFeedProductType,0)+1,FALSE)&gt;0,1,0)</formula>
    </cfRule>
    <cfRule type="expression" dxfId="689" priority="506">
      <formula>AND(IF(IFERROR(VLOOKUP($CO$3,requiredAttributePTDMap,MATCH($A14,attributeMapFeedProductType,0)+1,FALSE),0)&gt;0,0,1),IF(IFERROR(VLOOKUP($CO$3,optionalAttributePTDMap,MATCH($A14,attributeMapFeedProductType,0)+1,FALSE),0)&gt;0,0,1),IF(IFERROR(VLOOKUP($CO$3,preferredAttributePTDMap,MATCH($A14,attributeMapFeedProductType,0)+1,FALSE),0)&gt;0,0,1),IF(IFERROR(MATCH($A14,attributeMapFeedProductType,0),0)&gt;0,1,0))</formula>
    </cfRule>
  </conditionalFormatting>
  <conditionalFormatting sqref="CP14:CP17">
    <cfRule type="expression" dxfId="688" priority="507">
      <formula>IF(LEN(CP14)&gt;0,1,0)</formula>
    </cfRule>
    <cfRule type="expression" dxfId="687" priority="508">
      <formula>IF(VLOOKUP($CP$3,requiredAttributePTDMap,MATCH($A14,attributeMapFeedProductType,0)+1,FALSE)&gt;0,1,0)</formula>
    </cfRule>
    <cfRule type="expression" dxfId="686" priority="509">
      <formula>IF(VLOOKUP($CP$3,optionalAttributePTDMap,MATCH($A14,attributeMapFeedProductType,0)+1,FALSE)&gt;0,1,0)</formula>
    </cfRule>
    <cfRule type="expression" dxfId="685" priority="510">
      <formula>IF(VLOOKUP($CP$3,preferredAttributePTDMap,MATCH($A14,attributeMapFeedProductType,0)+1,FALSE)&gt;0,1,0)</formula>
    </cfRule>
    <cfRule type="expression" dxfId="684" priority="511">
      <formula>AND(IF(IFERROR(VLOOKUP($CP$3,requiredAttributePTDMap,MATCH($A14,attributeMapFeedProductType,0)+1,FALSE),0)&gt;0,0,1),IF(IFERROR(VLOOKUP($CP$3,optionalAttributePTDMap,MATCH($A14,attributeMapFeedProductType,0)+1,FALSE),0)&gt;0,0,1),IF(IFERROR(VLOOKUP($CP$3,preferredAttributePTDMap,MATCH($A14,attributeMapFeedProductType,0)+1,FALSE),0)&gt;0,0,1),IF(IFERROR(MATCH($A14,attributeMapFeedProductType,0),0)&gt;0,1,0))</formula>
    </cfRule>
  </conditionalFormatting>
  <conditionalFormatting sqref="CQ14:CQ17">
    <cfRule type="expression" dxfId="683" priority="512">
      <formula>IF(LEN(CQ14)&gt;0,1,0)</formula>
    </cfRule>
    <cfRule type="expression" dxfId="682" priority="513">
      <formula>IF(VLOOKUP($CQ$3,requiredAttributePTDMap,MATCH($A14,attributeMapFeedProductType,0)+1,FALSE)&gt;0,1,0)</formula>
    </cfRule>
    <cfRule type="expression" dxfId="681" priority="514">
      <formula>IF(VLOOKUP($CQ$3,optionalAttributePTDMap,MATCH($A14,attributeMapFeedProductType,0)+1,FALSE)&gt;0,1,0)</formula>
    </cfRule>
    <cfRule type="expression" dxfId="680" priority="515">
      <formula>IF(VLOOKUP($CQ$3,preferredAttributePTDMap,MATCH($A14,attributeMapFeedProductType,0)+1,FALSE)&gt;0,1,0)</formula>
    </cfRule>
    <cfRule type="expression" dxfId="679" priority="516">
      <formula>AND(IF(IFERROR(VLOOKUP($CQ$3,requiredAttributePTDMap,MATCH($A14,attributeMapFeedProductType,0)+1,FALSE),0)&gt;0,0,1),IF(IFERROR(VLOOKUP($CQ$3,optionalAttributePTDMap,MATCH($A14,attributeMapFeedProductType,0)+1,FALSE),0)&gt;0,0,1),IF(IFERROR(VLOOKUP($CQ$3,preferredAttributePTDMap,MATCH($A14,attributeMapFeedProductType,0)+1,FALSE),0)&gt;0,0,1),IF(IFERROR(MATCH($A14,attributeMapFeedProductType,0),0)&gt;0,1,0))</formula>
    </cfRule>
  </conditionalFormatting>
  <conditionalFormatting sqref="CR14:CR17">
    <cfRule type="expression" dxfId="678" priority="517">
      <formula>IF(LEN(CR14)&gt;0,1,0)</formula>
    </cfRule>
    <cfRule type="expression" dxfId="677" priority="518">
      <formula>IF(VLOOKUP($CR$3,requiredAttributePTDMap,MATCH($A14,attributeMapFeedProductType,0)+1,FALSE)&gt;0,1,0)</formula>
    </cfRule>
    <cfRule type="expression" dxfId="676" priority="519">
      <formula>IF(VLOOKUP($CR$3,optionalAttributePTDMap,MATCH($A14,attributeMapFeedProductType,0)+1,FALSE)&gt;0,1,0)</formula>
    </cfRule>
    <cfRule type="expression" dxfId="675" priority="520">
      <formula>IF(VLOOKUP($CR$3,preferredAttributePTDMap,MATCH($A14,attributeMapFeedProductType,0)+1,FALSE)&gt;0,1,0)</formula>
    </cfRule>
    <cfRule type="expression" dxfId="674" priority="521">
      <formula>AND(IF(IFERROR(VLOOKUP($CR$3,requiredAttributePTDMap,MATCH($A14,attributeMapFeedProductType,0)+1,FALSE),0)&gt;0,0,1),IF(IFERROR(VLOOKUP($CR$3,optionalAttributePTDMap,MATCH($A14,attributeMapFeedProductType,0)+1,FALSE),0)&gt;0,0,1),IF(IFERROR(VLOOKUP($CR$3,preferredAttributePTDMap,MATCH($A14,attributeMapFeedProductType,0)+1,FALSE),0)&gt;0,0,1),IF(IFERROR(MATCH($A14,attributeMapFeedProductType,0),0)&gt;0,1,0))</formula>
    </cfRule>
  </conditionalFormatting>
  <conditionalFormatting sqref="CS14:CS17">
    <cfRule type="expression" dxfId="673" priority="522">
      <formula>IF(LEN(CS14)&gt;0,1,0)</formula>
    </cfRule>
    <cfRule type="expression" dxfId="672" priority="523">
      <formula>IF(VLOOKUP($CS$3,requiredAttributePTDMap,MATCH($A14,attributeMapFeedProductType,0)+1,FALSE)&gt;0,1,0)</formula>
    </cfRule>
    <cfRule type="expression" dxfId="671" priority="524">
      <formula>IF(VLOOKUP($CS$3,optionalAttributePTDMap,MATCH($A14,attributeMapFeedProductType,0)+1,FALSE)&gt;0,1,0)</formula>
    </cfRule>
    <cfRule type="expression" dxfId="670" priority="525">
      <formula>IF(VLOOKUP($CS$3,preferredAttributePTDMap,MATCH($A14,attributeMapFeedProductType,0)+1,FALSE)&gt;0,1,0)</formula>
    </cfRule>
    <cfRule type="expression" dxfId="669" priority="526">
      <formula>AND(IF(IFERROR(VLOOKUP($CS$3,requiredAttributePTDMap,MATCH($A14,attributeMapFeedProductType,0)+1,FALSE),0)&gt;0,0,1),IF(IFERROR(VLOOKUP($CS$3,optionalAttributePTDMap,MATCH($A14,attributeMapFeedProductType,0)+1,FALSE),0)&gt;0,0,1),IF(IFERROR(VLOOKUP($CS$3,preferredAttributePTDMap,MATCH($A14,attributeMapFeedProductType,0)+1,FALSE),0)&gt;0,0,1),IF(IFERROR(MATCH($A14,attributeMapFeedProductType,0),0)&gt;0,1,0))</formula>
    </cfRule>
  </conditionalFormatting>
  <conditionalFormatting sqref="CT14:CT17">
    <cfRule type="expression" dxfId="668" priority="527">
      <formula>AND(AND((0)),1=1)</formula>
    </cfRule>
    <cfRule type="expression" dxfId="667" priority="528">
      <formula>AND(AND(OR(AND(OR(OR(NOT(DQ14&lt;&gt;"not_applicable"),DQ14="")),OR(OR(NOT(DR14&lt;&gt;"not_applicable"),DR14="")),OR(OR(NOT(DS14&lt;&gt;"not_applicable"),DS14="")),OR(OR(NOT(DT14&lt;&gt;"not_applicable"),DT14="")),OR(OR(NOT(DU14&lt;&gt;"not_applicable"),DU14="")))),A14&lt;&gt;""))</formula>
    </cfRule>
    <cfRule type="expression" dxfId="666" priority="529">
      <formula>IF(LEN(CT14)&gt;0,1,0)</formula>
    </cfRule>
    <cfRule type="expression" dxfId="665" priority="530">
      <formula>IF(VLOOKUP($CT$3,requiredAttributePTDMap,MATCH($A14,attributeMapFeedProductType,0)+1,FALSE)&gt;0,1,0)</formula>
    </cfRule>
    <cfRule type="expression" dxfId="664" priority="531">
      <formula>IF(VLOOKUP($CT$3,optionalAttributePTDMap,MATCH($A14,attributeMapFeedProductType,0)+1,FALSE)&gt;0,1,0)</formula>
    </cfRule>
    <cfRule type="expression" dxfId="663" priority="532">
      <formula>IF(VLOOKUP($CT$3,preferredAttributePTDMap,MATCH($A14,attributeMapFeedProductType,0)+1,FALSE)&gt;0,1,0)</formula>
    </cfRule>
    <cfRule type="expression" dxfId="662" priority="533">
      <formula>AND(IF(IFERROR(VLOOKUP($CT$3,requiredAttributePTDMap,MATCH($A14,attributeMapFeedProductType,0)+1,FALSE),0)&gt;0,0,1),IF(IFERROR(VLOOKUP($CT$3,optionalAttributePTDMap,MATCH($A14,attributeMapFeedProductType,0)+1,FALSE),0)&gt;0,0,1),IF(IFERROR(VLOOKUP($CT$3,preferredAttributePTDMap,MATCH($A14,attributeMapFeedProductType,0)+1,FALSE),0)&gt;0,0,1),IF(IFERROR(MATCH($A14,attributeMapFeedProductType,0),0)&gt;0,1,0))</formula>
    </cfRule>
  </conditionalFormatting>
  <conditionalFormatting sqref="CU14:CU17">
    <cfRule type="expression" dxfId="661" priority="534">
      <formula>AND(AND((0)),1=1)</formula>
    </cfRule>
    <cfRule type="expression" dxfId="660" priority="535">
      <formula>AND(AND(OR(AND(OR(OR(NOT(DQ14&lt;&gt;"not_applicable"),DQ14="")),OR(OR(NOT(DR14&lt;&gt;"not_applicable"),DR14="")),OR(OR(NOT(DS14&lt;&gt;"not_applicable"),DS14="")),OR(OR(NOT(DT14&lt;&gt;"not_applicable"),DT14="")),OR(OR(NOT(DU14&lt;&gt;"not_applicable"),DU14="")))),A14&lt;&gt;""))</formula>
    </cfRule>
    <cfRule type="expression" dxfId="659" priority="536">
      <formula>IF(LEN(CU14)&gt;0,1,0)</formula>
    </cfRule>
    <cfRule type="expression" dxfId="658" priority="537">
      <formula>IF(VLOOKUP($CU$3,requiredAttributePTDMap,MATCH($A14,attributeMapFeedProductType,0)+1,FALSE)&gt;0,1,0)</formula>
    </cfRule>
    <cfRule type="expression" dxfId="657" priority="538">
      <formula>IF(VLOOKUP($CU$3,optionalAttributePTDMap,MATCH($A14,attributeMapFeedProductType,0)+1,FALSE)&gt;0,1,0)</formula>
    </cfRule>
    <cfRule type="expression" dxfId="656" priority="539">
      <formula>IF(VLOOKUP($CU$3,preferredAttributePTDMap,MATCH($A14,attributeMapFeedProductType,0)+1,FALSE)&gt;0,1,0)</formula>
    </cfRule>
    <cfRule type="expression" dxfId="655" priority="540">
      <formula>AND(IF(IFERROR(VLOOKUP($CU$3,requiredAttributePTDMap,MATCH($A14,attributeMapFeedProductType,0)+1,FALSE),0)&gt;0,0,1),IF(IFERROR(VLOOKUP($CU$3,optionalAttributePTDMap,MATCH($A14,attributeMapFeedProductType,0)+1,FALSE),0)&gt;0,0,1),IF(IFERROR(VLOOKUP($CU$3,preferredAttributePTDMap,MATCH($A14,attributeMapFeedProductType,0)+1,FALSE),0)&gt;0,0,1),IF(IFERROR(MATCH($A14,attributeMapFeedProductType,0),0)&gt;0,1,0))</formula>
    </cfRule>
  </conditionalFormatting>
  <conditionalFormatting sqref="CV14:CV17">
    <cfRule type="expression" dxfId="654" priority="541">
      <formula>IF(LEN(CV14)&gt;0,1,0)</formula>
    </cfRule>
    <cfRule type="expression" dxfId="653" priority="542">
      <formula>IF(VLOOKUP($CV$3,requiredAttributePTDMap,MATCH($A14,attributeMapFeedProductType,0)+1,FALSE)&gt;0,1,0)</formula>
    </cfRule>
    <cfRule type="expression" dxfId="652" priority="543">
      <formula>IF(VLOOKUP($CV$3,optionalAttributePTDMap,MATCH($A14,attributeMapFeedProductType,0)+1,FALSE)&gt;0,1,0)</formula>
    </cfRule>
    <cfRule type="expression" dxfId="651" priority="544">
      <formula>IF(VLOOKUP($CV$3,preferredAttributePTDMap,MATCH($A14,attributeMapFeedProductType,0)+1,FALSE)&gt;0,1,0)</formula>
    </cfRule>
    <cfRule type="expression" dxfId="650" priority="545">
      <formula>AND(IF(IFERROR(VLOOKUP($CV$3,requiredAttributePTDMap,MATCH($A14,attributeMapFeedProductType,0)+1,FALSE),0)&gt;0,0,1),IF(IFERROR(VLOOKUP($CV$3,optionalAttributePTDMap,MATCH($A14,attributeMapFeedProductType,0)+1,FALSE),0)&gt;0,0,1),IF(IFERROR(VLOOKUP($CV$3,preferredAttributePTDMap,MATCH($A14,attributeMapFeedProductType,0)+1,FALSE),0)&gt;0,0,1),IF(IFERROR(MATCH($A14,attributeMapFeedProductType,0),0)&gt;0,1,0))</formula>
    </cfRule>
  </conditionalFormatting>
  <conditionalFormatting sqref="CW14:CW17">
    <cfRule type="expression" dxfId="649" priority="546">
      <formula>AND(AND((0)),1=1)</formula>
    </cfRule>
    <cfRule type="expression" dxfId="648" priority="547">
      <formula>AND(AND(OR(AND(AND(IF(COUNTIF(CONDITION_LIST_0, CY14)&gt;0,FALSE,TRUE)))),A14&lt;&gt;""))</formula>
    </cfRule>
    <cfRule type="expression" dxfId="647" priority="548">
      <formula>IF(LEN(CW14)&gt;0,1,0)</formula>
    </cfRule>
    <cfRule type="expression" dxfId="646" priority="549">
      <formula>IF(VLOOKUP($CW$3,requiredAttributePTDMap,MATCH($A14,attributeMapFeedProductType,0)+1,FALSE)&gt;0,1,0)</formula>
    </cfRule>
    <cfRule type="expression" dxfId="645" priority="550">
      <formula>IF(VLOOKUP($CW$3,optionalAttributePTDMap,MATCH($A14,attributeMapFeedProductType,0)+1,FALSE)&gt;0,1,0)</formula>
    </cfRule>
    <cfRule type="expression" dxfId="644" priority="551">
      <formula>IF(VLOOKUP($CW$3,preferredAttributePTDMap,MATCH($A14,attributeMapFeedProductType,0)+1,FALSE)&gt;0,1,0)</formula>
    </cfRule>
    <cfRule type="expression" dxfId="643" priority="552">
      <formula>AND(IF(IFERROR(VLOOKUP($CW$3,requiredAttributePTDMap,MATCH($A14,attributeMapFeedProductType,0)+1,FALSE),0)&gt;0,0,1),IF(IFERROR(VLOOKUP($CW$3,optionalAttributePTDMap,MATCH($A14,attributeMapFeedProductType,0)+1,FALSE),0)&gt;0,0,1),IF(IFERROR(VLOOKUP($CW$3,preferredAttributePTDMap,MATCH($A14,attributeMapFeedProductType,0)+1,FALSE),0)&gt;0,0,1),IF(IFERROR(MATCH($A14,attributeMapFeedProductType,0),0)&gt;0,1,0))</formula>
    </cfRule>
  </conditionalFormatting>
  <conditionalFormatting sqref="CX14:CX17">
    <cfRule type="expression" dxfId="642" priority="553">
      <formula>AND(AND((0)),1=1)</formula>
    </cfRule>
    <cfRule type="expression" dxfId="641" priority="554">
      <formula>AND(AND(OR(AND(OR(OR(NOT(DQ14&lt;&gt;"not_applicable"),DQ14="")),OR(OR(NOT(DR14&lt;&gt;"not_applicable"),DR14="")),OR(OR(NOT(DS14&lt;&gt;"not_applicable"),DS14="")),OR(OR(NOT(DT14&lt;&gt;"not_applicable"),DT14="")),OR(OR(NOT(DU14&lt;&gt;"not_applicable"),DU14="")))),A14&lt;&gt;""))</formula>
    </cfRule>
    <cfRule type="expression" dxfId="640" priority="555">
      <formula>IF(LEN(CX14)&gt;0,1,0)</formula>
    </cfRule>
    <cfRule type="expression" dxfId="639" priority="556">
      <formula>IF(VLOOKUP($CX$3,requiredAttributePTDMap,MATCH($A14,attributeMapFeedProductType,0)+1,FALSE)&gt;0,1,0)</formula>
    </cfRule>
    <cfRule type="expression" dxfId="638" priority="557">
      <formula>IF(VLOOKUP($CX$3,optionalAttributePTDMap,MATCH($A14,attributeMapFeedProductType,0)+1,FALSE)&gt;0,1,0)</formula>
    </cfRule>
    <cfRule type="expression" dxfId="637" priority="558">
      <formula>IF(VLOOKUP($CX$3,preferredAttributePTDMap,MATCH($A14,attributeMapFeedProductType,0)+1,FALSE)&gt;0,1,0)</formula>
    </cfRule>
    <cfRule type="expression" dxfId="636" priority="559">
      <formula>AND(IF(IFERROR(VLOOKUP($CX$3,requiredAttributePTDMap,MATCH($A14,attributeMapFeedProductType,0)+1,FALSE),0)&gt;0,0,1),IF(IFERROR(VLOOKUP($CX$3,optionalAttributePTDMap,MATCH($A14,attributeMapFeedProductType,0)+1,FALSE),0)&gt;0,0,1),IF(IFERROR(VLOOKUP($CX$3,preferredAttributePTDMap,MATCH($A14,attributeMapFeedProductType,0)+1,FALSE),0)&gt;0,0,1),IF(IFERROR(MATCH($A14,attributeMapFeedProductType,0),0)&gt;0,1,0))</formula>
    </cfRule>
  </conditionalFormatting>
  <conditionalFormatting sqref="CY14:CY17">
    <cfRule type="expression" dxfId="635" priority="560">
      <formula>AND(AND((0)),1=1)</formula>
    </cfRule>
    <cfRule type="expression" dxfId="634" priority="561">
      <formula>AND(AND(OR(AND(OR(OR(NOT(CH14&lt;&gt;"DEFAULT"),CH14="")))),A14&lt;&gt;""))</formula>
    </cfRule>
    <cfRule type="expression" dxfId="633" priority="562">
      <formula>IF(LEN(CY14)&gt;0,1,0)</formula>
    </cfRule>
    <cfRule type="expression" dxfId="632" priority="563">
      <formula>IF(VLOOKUP($CY$3,requiredAttributePTDMap,MATCH($A14,attributeMapFeedProductType,0)+1,FALSE)&gt;0,1,0)</formula>
    </cfRule>
    <cfRule type="expression" dxfId="631" priority="564">
      <formula>IF(VLOOKUP($CY$3,optionalAttributePTDMap,MATCH($A14,attributeMapFeedProductType,0)+1,FALSE)&gt;0,1,0)</formula>
    </cfRule>
    <cfRule type="expression" dxfId="630" priority="565">
      <formula>IF(VLOOKUP($CY$3,preferredAttributePTDMap,MATCH($A14,attributeMapFeedProductType,0)+1,FALSE)&gt;0,1,0)</formula>
    </cfRule>
    <cfRule type="expression" dxfId="629" priority="566">
      <formula>AND(IF(IFERROR(VLOOKUP($CY$3,requiredAttributePTDMap,MATCH($A14,attributeMapFeedProductType,0)+1,FALSE),0)&gt;0,0,1),IF(IFERROR(VLOOKUP($CY$3,optionalAttributePTDMap,MATCH($A14,attributeMapFeedProductType,0)+1,FALSE),0)&gt;0,0,1),IF(IFERROR(VLOOKUP($CY$3,preferredAttributePTDMap,MATCH($A14,attributeMapFeedProductType,0)+1,FALSE),0)&gt;0,0,1),IF(IFERROR(MATCH($A14,attributeMapFeedProductType,0),0)&gt;0,1,0))</formula>
    </cfRule>
  </conditionalFormatting>
  <conditionalFormatting sqref="CZ14:CZ17">
    <cfRule type="expression" dxfId="628" priority="567">
      <formula>AND(AND((0)),1=1)</formula>
    </cfRule>
    <cfRule type="expression" dxfId="627" priority="568">
      <formula>AND(AND(OR(AND(AND(IF(COUNTIF(CONDITION_LIST_1, DL14)&gt;0,FALSE,TRUE)))),A14&lt;&gt;""))</formula>
    </cfRule>
    <cfRule type="expression" dxfId="626" priority="569">
      <formula>IF(LEN(CZ14)&gt;0,1,0)</formula>
    </cfRule>
    <cfRule type="expression" dxfId="625" priority="570">
      <formula>IF(VLOOKUP($CZ$3,requiredAttributePTDMap,MATCH($A14,attributeMapFeedProductType,0)+1,FALSE)&gt;0,1,0)</formula>
    </cfRule>
    <cfRule type="expression" dxfId="624" priority="571">
      <formula>IF(VLOOKUP($CZ$3,optionalAttributePTDMap,MATCH($A14,attributeMapFeedProductType,0)+1,FALSE)&gt;0,1,0)</formula>
    </cfRule>
    <cfRule type="expression" dxfId="623" priority="572">
      <formula>IF(VLOOKUP($CZ$3,preferredAttributePTDMap,MATCH($A14,attributeMapFeedProductType,0)+1,FALSE)&gt;0,1,0)</formula>
    </cfRule>
    <cfRule type="expression" dxfId="622" priority="573">
      <formula>AND(IF(IFERROR(VLOOKUP($CZ$3,requiredAttributePTDMap,MATCH($A14,attributeMapFeedProductType,0)+1,FALSE),0)&gt;0,0,1),IF(IFERROR(VLOOKUP($CZ$3,optionalAttributePTDMap,MATCH($A14,attributeMapFeedProductType,0)+1,FALSE),0)&gt;0,0,1),IF(IFERROR(VLOOKUP($CZ$3,preferredAttributePTDMap,MATCH($A14,attributeMapFeedProductType,0)+1,FALSE),0)&gt;0,0,1),IF(IFERROR(MATCH($A14,attributeMapFeedProductType,0),0)&gt;0,1,0))</formula>
    </cfRule>
  </conditionalFormatting>
  <conditionalFormatting sqref="DA14:DA17">
    <cfRule type="expression" dxfId="621" priority="574">
      <formula>AND(AND((0)),1=1)</formula>
    </cfRule>
    <cfRule type="expression" dxfId="620" priority="575">
      <formula>AND(AND(OR(AND(AND(IF(COUNTIF(CONDITION_LIST_1, DL14)&gt;0,FALSE,TRUE)))),A14&lt;&gt;""))</formula>
    </cfRule>
    <cfRule type="expression" dxfId="619" priority="576">
      <formula>IF(LEN(DA14)&gt;0,1,0)</formula>
    </cfRule>
    <cfRule type="expression" dxfId="618" priority="577">
      <formula>IF(VLOOKUP($DA$3,requiredAttributePTDMap,MATCH($A14,attributeMapFeedProductType,0)+1,FALSE)&gt;0,1,0)</formula>
    </cfRule>
    <cfRule type="expression" dxfId="617" priority="578">
      <formula>IF(VLOOKUP($DA$3,optionalAttributePTDMap,MATCH($A14,attributeMapFeedProductType,0)+1,FALSE)&gt;0,1,0)</formula>
    </cfRule>
    <cfRule type="expression" dxfId="616" priority="579">
      <formula>IF(VLOOKUP($DA$3,preferredAttributePTDMap,MATCH($A14,attributeMapFeedProductType,0)+1,FALSE)&gt;0,1,0)</formula>
    </cfRule>
    <cfRule type="expression" dxfId="615" priority="580">
      <formula>AND(IF(IFERROR(VLOOKUP($DA$3,requiredAttributePTDMap,MATCH($A14,attributeMapFeedProductType,0)+1,FALSE),0)&gt;0,0,1),IF(IFERROR(VLOOKUP($DA$3,optionalAttributePTDMap,MATCH($A14,attributeMapFeedProductType,0)+1,FALSE),0)&gt;0,0,1),IF(IFERROR(VLOOKUP($DA$3,preferredAttributePTDMap,MATCH($A14,attributeMapFeedProductType,0)+1,FALSE),0)&gt;0,0,1),IF(IFERROR(MATCH($A14,attributeMapFeedProductType,0),0)&gt;0,1,0))</formula>
    </cfRule>
  </conditionalFormatting>
  <conditionalFormatting sqref="DB14:DB17">
    <cfRule type="expression" dxfId="614" priority="581">
      <formula>AND(AND((0)),1=1)</formula>
    </cfRule>
    <cfRule type="expression" dxfId="613" priority="582">
      <formula>AND(AND(OR(AND(AND(IF(COUNTIF(CONDITION_LIST_1, DL14)&gt;0,FALSE,TRUE)))),A14&lt;&gt;""))</formula>
    </cfRule>
    <cfRule type="expression" dxfId="612" priority="583">
      <formula>IF(LEN(DB14)&gt;0,1,0)</formula>
    </cfRule>
    <cfRule type="expression" dxfId="611" priority="584">
      <formula>IF(VLOOKUP($DB$3,requiredAttributePTDMap,MATCH($A14,attributeMapFeedProductType,0)+1,FALSE)&gt;0,1,0)</formula>
    </cfRule>
    <cfRule type="expression" dxfId="610" priority="585">
      <formula>IF(VLOOKUP($DB$3,optionalAttributePTDMap,MATCH($A14,attributeMapFeedProductType,0)+1,FALSE)&gt;0,1,0)</formula>
    </cfRule>
    <cfRule type="expression" dxfId="609" priority="586">
      <formula>IF(VLOOKUP($DB$3,preferredAttributePTDMap,MATCH($A14,attributeMapFeedProductType,0)+1,FALSE)&gt;0,1,0)</formula>
    </cfRule>
    <cfRule type="expression" dxfId="608" priority="587">
      <formula>AND(IF(IFERROR(VLOOKUP($DB$3,requiredAttributePTDMap,MATCH($A14,attributeMapFeedProductType,0)+1,FALSE),0)&gt;0,0,1),IF(IFERROR(VLOOKUP($DB$3,optionalAttributePTDMap,MATCH($A14,attributeMapFeedProductType,0)+1,FALSE),0)&gt;0,0,1),IF(IFERROR(VLOOKUP($DB$3,preferredAttributePTDMap,MATCH($A14,attributeMapFeedProductType,0)+1,FALSE),0)&gt;0,0,1),IF(IFERROR(MATCH($A14,attributeMapFeedProductType,0),0)&gt;0,1,0))</formula>
    </cfRule>
  </conditionalFormatting>
  <conditionalFormatting sqref="DC14:DC17">
    <cfRule type="expression" dxfId="607" priority="588">
      <formula>AND(AND((0)),1=1)</formula>
    </cfRule>
    <cfRule type="expression" dxfId="606" priority="589">
      <formula>AND(AND(OR(AND(OR(OR(NOT(DQ14&lt;&gt;"not_applicable"),DQ14="")),OR(OR(NOT(DR14&lt;&gt;"not_applicable"),DR14="")),OR(OR(NOT(DS14&lt;&gt;"not_applicable"),DS14="")),OR(OR(NOT(DT14&lt;&gt;"not_applicable"),DT14="")),OR(OR(NOT(DU14&lt;&gt;"not_applicable"),DU14="")))),A14&lt;&gt;""))</formula>
    </cfRule>
    <cfRule type="expression" dxfId="605" priority="590">
      <formula>IF(LEN(DC14)&gt;0,1,0)</formula>
    </cfRule>
    <cfRule type="expression" dxfId="604" priority="591">
      <formula>IF(VLOOKUP($DC$3,requiredAttributePTDMap,MATCH($A14,attributeMapFeedProductType,0)+1,FALSE)&gt;0,1,0)</formula>
    </cfRule>
    <cfRule type="expression" dxfId="603" priority="592">
      <formula>IF(VLOOKUP($DC$3,optionalAttributePTDMap,MATCH($A14,attributeMapFeedProductType,0)+1,FALSE)&gt;0,1,0)</formula>
    </cfRule>
    <cfRule type="expression" dxfId="602" priority="593">
      <formula>IF(VLOOKUP($DC$3,preferredAttributePTDMap,MATCH($A14,attributeMapFeedProductType,0)+1,FALSE)&gt;0,1,0)</formula>
    </cfRule>
    <cfRule type="expression" dxfId="601" priority="594">
      <formula>AND(IF(IFERROR(VLOOKUP($DC$3,requiredAttributePTDMap,MATCH($A14,attributeMapFeedProductType,0)+1,FALSE),0)&gt;0,0,1),IF(IFERROR(VLOOKUP($DC$3,optionalAttributePTDMap,MATCH($A14,attributeMapFeedProductType,0)+1,FALSE),0)&gt;0,0,1),IF(IFERROR(VLOOKUP($DC$3,preferredAttributePTDMap,MATCH($A14,attributeMapFeedProductType,0)+1,FALSE),0)&gt;0,0,1),IF(IFERROR(MATCH($A14,attributeMapFeedProductType,0),0)&gt;0,1,0))</formula>
    </cfRule>
  </conditionalFormatting>
  <conditionalFormatting sqref="DD14:DD17">
    <cfRule type="expression" dxfId="600" priority="595">
      <formula>AND(AND((0)),1=1)</formula>
    </cfRule>
    <cfRule type="expression" dxfId="599" priority="596">
      <formula>AND(AND(OR(AND(AND(IF(COUNTIF(CONDITION_LIST_1, DL14)&gt;0,FALSE,TRUE)))),A14&lt;&gt;""))</formula>
    </cfRule>
    <cfRule type="expression" dxfId="598" priority="597">
      <formula>IF(LEN(DD14)&gt;0,1,0)</formula>
    </cfRule>
    <cfRule type="expression" dxfId="597" priority="598">
      <formula>IF(VLOOKUP($DD$3,requiredAttributePTDMap,MATCH($A14,attributeMapFeedProductType,0)+1,FALSE)&gt;0,1,0)</formula>
    </cfRule>
    <cfRule type="expression" dxfId="596" priority="599">
      <formula>IF(VLOOKUP($DD$3,optionalAttributePTDMap,MATCH($A14,attributeMapFeedProductType,0)+1,FALSE)&gt;0,1,0)</formula>
    </cfRule>
    <cfRule type="expression" dxfId="595" priority="600">
      <formula>IF(VLOOKUP($DD$3,preferredAttributePTDMap,MATCH($A14,attributeMapFeedProductType,0)+1,FALSE)&gt;0,1,0)</formula>
    </cfRule>
    <cfRule type="expression" dxfId="594" priority="601">
      <formula>AND(IF(IFERROR(VLOOKUP($DD$3,requiredAttributePTDMap,MATCH($A14,attributeMapFeedProductType,0)+1,FALSE),0)&gt;0,0,1),IF(IFERROR(VLOOKUP($DD$3,optionalAttributePTDMap,MATCH($A14,attributeMapFeedProductType,0)+1,FALSE),0)&gt;0,0,1),IF(IFERROR(VLOOKUP($DD$3,preferredAttributePTDMap,MATCH($A14,attributeMapFeedProductType,0)+1,FALSE),0)&gt;0,0,1),IF(IFERROR(MATCH($A14,attributeMapFeedProductType,0),0)&gt;0,1,0))</formula>
    </cfRule>
  </conditionalFormatting>
  <conditionalFormatting sqref="DE14:DE17">
    <cfRule type="expression" dxfId="593" priority="602">
      <formula>AND(AND((0)),1=1)</formula>
    </cfRule>
    <cfRule type="expression" dxfId="592" priority="603">
      <formula>AND(AND(OR(AND(AND(IF(COUNTIF(CONDITION_LIST_1, DL14)&gt;0,FALSE,TRUE)))),A14&lt;&gt;""))</formula>
    </cfRule>
    <cfRule type="expression" dxfId="591" priority="604">
      <formula>IF(LEN(DE14)&gt;0,1,0)</formula>
    </cfRule>
    <cfRule type="expression" dxfId="590" priority="605">
      <formula>IF(VLOOKUP($DE$3,requiredAttributePTDMap,MATCH($A14,attributeMapFeedProductType,0)+1,FALSE)&gt;0,1,0)</formula>
    </cfRule>
    <cfRule type="expression" dxfId="589" priority="606">
      <formula>IF(VLOOKUP($DE$3,optionalAttributePTDMap,MATCH($A14,attributeMapFeedProductType,0)+1,FALSE)&gt;0,1,0)</formula>
    </cfRule>
    <cfRule type="expression" dxfId="588" priority="607">
      <formula>IF(VLOOKUP($DE$3,preferredAttributePTDMap,MATCH($A14,attributeMapFeedProductType,0)+1,FALSE)&gt;0,1,0)</formula>
    </cfRule>
    <cfRule type="expression" dxfId="587" priority="608">
      <formula>AND(IF(IFERROR(VLOOKUP($DE$3,requiredAttributePTDMap,MATCH($A14,attributeMapFeedProductType,0)+1,FALSE),0)&gt;0,0,1),IF(IFERROR(VLOOKUP($DE$3,optionalAttributePTDMap,MATCH($A14,attributeMapFeedProductType,0)+1,FALSE),0)&gt;0,0,1),IF(IFERROR(VLOOKUP($DE$3,preferredAttributePTDMap,MATCH($A14,attributeMapFeedProductType,0)+1,FALSE),0)&gt;0,0,1),IF(IFERROR(MATCH($A14,attributeMapFeedProductType,0),0)&gt;0,1,0))</formula>
    </cfRule>
  </conditionalFormatting>
  <conditionalFormatting sqref="DF14:DF17">
    <cfRule type="expression" dxfId="586" priority="609">
      <formula>AND(AND((0)),1=1)</formula>
    </cfRule>
    <cfRule type="expression" dxfId="585" priority="610">
      <formula>AND(AND(OR(AND(AND(IF(COUNTIF(CONDITION_LIST_1, DL14)&gt;0,FALSE,TRUE)))),A14&lt;&gt;""))</formula>
    </cfRule>
    <cfRule type="expression" dxfId="584" priority="611">
      <formula>IF(LEN(DF14)&gt;0,1,0)</formula>
    </cfRule>
    <cfRule type="expression" dxfId="583" priority="612">
      <formula>IF(VLOOKUP($DF$3,requiredAttributePTDMap,MATCH($A14,attributeMapFeedProductType,0)+1,FALSE)&gt;0,1,0)</formula>
    </cfRule>
    <cfRule type="expression" dxfId="582" priority="613">
      <formula>IF(VLOOKUP($DF$3,optionalAttributePTDMap,MATCH($A14,attributeMapFeedProductType,0)+1,FALSE)&gt;0,1,0)</formula>
    </cfRule>
    <cfRule type="expression" dxfId="581" priority="614">
      <formula>IF(VLOOKUP($DF$3,preferredAttributePTDMap,MATCH($A14,attributeMapFeedProductType,0)+1,FALSE)&gt;0,1,0)</formula>
    </cfRule>
    <cfRule type="expression" dxfId="580" priority="615">
      <formula>AND(IF(IFERROR(VLOOKUP($DF$3,requiredAttributePTDMap,MATCH($A14,attributeMapFeedProductType,0)+1,FALSE),0)&gt;0,0,1),IF(IFERROR(VLOOKUP($DF$3,optionalAttributePTDMap,MATCH($A14,attributeMapFeedProductType,0)+1,FALSE),0)&gt;0,0,1),IF(IFERROR(VLOOKUP($DF$3,preferredAttributePTDMap,MATCH($A14,attributeMapFeedProductType,0)+1,FALSE),0)&gt;0,0,1),IF(IFERROR(MATCH($A14,attributeMapFeedProductType,0),0)&gt;0,1,0))</formula>
    </cfRule>
  </conditionalFormatting>
  <conditionalFormatting sqref="DG14:DG17">
    <cfRule type="expression" dxfId="579" priority="616">
      <formula>AND(AND((0)),1=1)</formula>
    </cfRule>
    <cfRule type="expression" dxfId="578" priority="617">
      <formula>AND(AND(OR(AND(AND(IF(COUNTIF(CONDITION_LIST_1, DL14)&gt;0,FALSE,TRUE)))),A14&lt;&gt;""))</formula>
    </cfRule>
    <cfRule type="expression" dxfId="577" priority="618">
      <formula>IF(LEN(DG14)&gt;0,1,0)</formula>
    </cfRule>
    <cfRule type="expression" dxfId="576" priority="619">
      <formula>IF(VLOOKUP($DG$3,requiredAttributePTDMap,MATCH($A14,attributeMapFeedProductType,0)+1,FALSE)&gt;0,1,0)</formula>
    </cfRule>
    <cfRule type="expression" dxfId="575" priority="620">
      <formula>IF(VLOOKUP($DG$3,optionalAttributePTDMap,MATCH($A14,attributeMapFeedProductType,0)+1,FALSE)&gt;0,1,0)</formula>
    </cfRule>
    <cfRule type="expression" dxfId="574" priority="621">
      <formula>IF(VLOOKUP($DG$3,preferredAttributePTDMap,MATCH($A14,attributeMapFeedProductType,0)+1,FALSE)&gt;0,1,0)</formula>
    </cfRule>
    <cfRule type="expression" dxfId="573" priority="622">
      <formula>AND(IF(IFERROR(VLOOKUP($DG$3,requiredAttributePTDMap,MATCH($A14,attributeMapFeedProductType,0)+1,FALSE),0)&gt;0,0,1),IF(IFERROR(VLOOKUP($DG$3,optionalAttributePTDMap,MATCH($A14,attributeMapFeedProductType,0)+1,FALSE),0)&gt;0,0,1),IF(IFERROR(VLOOKUP($DG$3,preferredAttributePTDMap,MATCH($A14,attributeMapFeedProductType,0)+1,FALSE),0)&gt;0,0,1),IF(IFERROR(MATCH($A14,attributeMapFeedProductType,0),0)&gt;0,1,0))</formula>
    </cfRule>
  </conditionalFormatting>
  <conditionalFormatting sqref="DH14:DH17">
    <cfRule type="expression" dxfId="572" priority="623">
      <formula>AND(AND((0)),1=1)</formula>
    </cfRule>
    <cfRule type="expression" dxfId="571" priority="624">
      <formula>AND(AND(OR(AND(AND(IF(COUNTIF(CONDITION_LIST_1, DL14)&gt;0,FALSE,TRUE)))),A14&lt;&gt;""))</formula>
    </cfRule>
    <cfRule type="expression" dxfId="570" priority="625">
      <formula>IF(LEN(DH14)&gt;0,1,0)</formula>
    </cfRule>
    <cfRule type="expression" dxfId="569" priority="626">
      <formula>IF(VLOOKUP($DH$3,requiredAttributePTDMap,MATCH($A14,attributeMapFeedProductType,0)+1,FALSE)&gt;0,1,0)</formula>
    </cfRule>
    <cfRule type="expression" dxfId="568" priority="627">
      <formula>IF(VLOOKUP($DH$3,optionalAttributePTDMap,MATCH($A14,attributeMapFeedProductType,0)+1,FALSE)&gt;0,1,0)</formula>
    </cfRule>
    <cfRule type="expression" dxfId="567" priority="628">
      <formula>IF(VLOOKUP($DH$3,preferredAttributePTDMap,MATCH($A14,attributeMapFeedProductType,0)+1,FALSE)&gt;0,1,0)</formula>
    </cfRule>
    <cfRule type="expression" dxfId="566" priority="629">
      <formula>AND(IF(IFERROR(VLOOKUP($DH$3,requiredAttributePTDMap,MATCH($A14,attributeMapFeedProductType,0)+1,FALSE),0)&gt;0,0,1),IF(IFERROR(VLOOKUP($DH$3,optionalAttributePTDMap,MATCH($A14,attributeMapFeedProductType,0)+1,FALSE),0)&gt;0,0,1),IF(IFERROR(VLOOKUP($DH$3,preferredAttributePTDMap,MATCH($A14,attributeMapFeedProductType,0)+1,FALSE),0)&gt;0,0,1),IF(IFERROR(MATCH($A14,attributeMapFeedProductType,0),0)&gt;0,1,0))</formula>
    </cfRule>
  </conditionalFormatting>
  <conditionalFormatting sqref="DI14:DI17">
    <cfRule type="expression" dxfId="565" priority="630">
      <formula>AND(AND((0)),1=1)</formula>
    </cfRule>
    <cfRule type="expression" dxfId="564" priority="631">
      <formula>AND(AND(OR(AND(AND(IF(COUNTIF(CONDITION_LIST_1, DL14)&gt;0,FALSE,TRUE)))),A14&lt;&gt;""))</formula>
    </cfRule>
    <cfRule type="expression" dxfId="563" priority="632">
      <formula>IF(LEN(DI14)&gt;0,1,0)</formula>
    </cfRule>
    <cfRule type="expression" dxfId="562" priority="633">
      <formula>IF(VLOOKUP($DI$3,requiredAttributePTDMap,MATCH($A14,attributeMapFeedProductType,0)+1,FALSE)&gt;0,1,0)</formula>
    </cfRule>
    <cfRule type="expression" dxfId="561" priority="634">
      <formula>IF(VLOOKUP($DI$3,optionalAttributePTDMap,MATCH($A14,attributeMapFeedProductType,0)+1,FALSE)&gt;0,1,0)</formula>
    </cfRule>
    <cfRule type="expression" dxfId="560" priority="635">
      <formula>IF(VLOOKUP($DI$3,preferredAttributePTDMap,MATCH($A14,attributeMapFeedProductType,0)+1,FALSE)&gt;0,1,0)</formula>
    </cfRule>
    <cfRule type="expression" dxfId="559" priority="636">
      <formula>AND(IF(IFERROR(VLOOKUP($DI$3,requiredAttributePTDMap,MATCH($A14,attributeMapFeedProductType,0)+1,FALSE),0)&gt;0,0,1),IF(IFERROR(VLOOKUP($DI$3,optionalAttributePTDMap,MATCH($A14,attributeMapFeedProductType,0)+1,FALSE),0)&gt;0,0,1),IF(IFERROR(VLOOKUP($DI$3,preferredAttributePTDMap,MATCH($A14,attributeMapFeedProductType,0)+1,FALSE),0)&gt;0,0,1),IF(IFERROR(MATCH($A14,attributeMapFeedProductType,0),0)&gt;0,1,0))</formula>
    </cfRule>
  </conditionalFormatting>
  <conditionalFormatting sqref="DJ14:DJ17">
    <cfRule type="expression" dxfId="558" priority="637">
      <formula>AND(AND((0)),1=1)</formula>
    </cfRule>
    <cfRule type="expression" dxfId="557" priority="638">
      <formula>AND(AND(OR(AND(AND(IF(COUNTIF(CONDITION_LIST_1, DL14)&gt;0,FALSE,TRUE)))),A14&lt;&gt;""))</formula>
    </cfRule>
    <cfRule type="expression" dxfId="556" priority="639">
      <formula>IF(LEN(DJ14)&gt;0,1,0)</formula>
    </cfRule>
    <cfRule type="expression" dxfId="555" priority="640">
      <formula>IF(VLOOKUP($DJ$3,requiredAttributePTDMap,MATCH($A14,attributeMapFeedProductType,0)+1,FALSE)&gt;0,1,0)</formula>
    </cfRule>
    <cfRule type="expression" dxfId="554" priority="641">
      <formula>IF(VLOOKUP($DJ$3,optionalAttributePTDMap,MATCH($A14,attributeMapFeedProductType,0)+1,FALSE)&gt;0,1,0)</formula>
    </cfRule>
    <cfRule type="expression" dxfId="553" priority="642">
      <formula>IF(VLOOKUP($DJ$3,preferredAttributePTDMap,MATCH($A14,attributeMapFeedProductType,0)+1,FALSE)&gt;0,1,0)</formula>
    </cfRule>
    <cfRule type="expression" dxfId="552" priority="643">
      <formula>AND(IF(IFERROR(VLOOKUP($DJ$3,requiredAttributePTDMap,MATCH($A14,attributeMapFeedProductType,0)+1,FALSE),0)&gt;0,0,1),IF(IFERROR(VLOOKUP($DJ$3,optionalAttributePTDMap,MATCH($A14,attributeMapFeedProductType,0)+1,FALSE),0)&gt;0,0,1),IF(IFERROR(VLOOKUP($DJ$3,preferredAttributePTDMap,MATCH($A14,attributeMapFeedProductType,0)+1,FALSE),0)&gt;0,0,1),IF(IFERROR(MATCH($A14,attributeMapFeedProductType,0),0)&gt;0,1,0))</formula>
    </cfRule>
  </conditionalFormatting>
  <conditionalFormatting sqref="DK14:DK17">
    <cfRule type="expression" dxfId="551" priority="644">
      <formula>AND(AND((0)),1=1)</formula>
    </cfRule>
    <cfRule type="expression" dxfId="550" priority="645">
      <formula>AND(AND(OR(AND(AND(IF(COUNTIF(CONDITION_LIST_1, DL14)&gt;0,FALSE,TRUE)))),A14&lt;&gt;""))</formula>
    </cfRule>
    <cfRule type="expression" dxfId="549" priority="646">
      <formula>IF(LEN(DK14)&gt;0,1,0)</formula>
    </cfRule>
    <cfRule type="expression" dxfId="548" priority="647">
      <formula>IF(VLOOKUP($DK$3,requiredAttributePTDMap,MATCH($A14,attributeMapFeedProductType,0)+1,FALSE)&gt;0,1,0)</formula>
    </cfRule>
    <cfRule type="expression" dxfId="547" priority="648">
      <formula>IF(VLOOKUP($DK$3,optionalAttributePTDMap,MATCH($A14,attributeMapFeedProductType,0)+1,FALSE)&gt;0,1,0)</formula>
    </cfRule>
    <cfRule type="expression" dxfId="546" priority="649">
      <formula>IF(VLOOKUP($DK$3,preferredAttributePTDMap,MATCH($A14,attributeMapFeedProductType,0)+1,FALSE)&gt;0,1,0)</formula>
    </cfRule>
    <cfRule type="expression" dxfId="545" priority="650">
      <formula>AND(IF(IFERROR(VLOOKUP($DK$3,requiredAttributePTDMap,MATCH($A14,attributeMapFeedProductType,0)+1,FALSE),0)&gt;0,0,1),IF(IFERROR(VLOOKUP($DK$3,optionalAttributePTDMap,MATCH($A14,attributeMapFeedProductType,0)+1,FALSE),0)&gt;0,0,1),IF(IFERROR(VLOOKUP($DK$3,preferredAttributePTDMap,MATCH($A14,attributeMapFeedProductType,0)+1,FALSE),0)&gt;0,0,1),IF(IFERROR(MATCH($A14,attributeMapFeedProductType,0),0)&gt;0,1,0))</formula>
    </cfRule>
  </conditionalFormatting>
  <conditionalFormatting sqref="DL14:DL17">
    <cfRule type="expression" dxfId="544" priority="651">
      <formula>AND(AND((0)),1=1)</formula>
    </cfRule>
    <cfRule type="expression" dxfId="543" priority="652">
      <formula>AND(AND(OR(AND(AND(IF(COUNTIF(CONDITION_LIST_0, CW14)&gt;0,FALSE,TRUE)))),A14&lt;&gt;""))</formula>
    </cfRule>
    <cfRule type="expression" dxfId="542" priority="653">
      <formula>IF(LEN(DL14)&gt;0,1,0)</formula>
    </cfRule>
    <cfRule type="expression" dxfId="541" priority="654">
      <formula>IF(VLOOKUP($DL$3,requiredAttributePTDMap,MATCH($A14,attributeMapFeedProductType,0)+1,FALSE)&gt;0,1,0)</formula>
    </cfRule>
    <cfRule type="expression" dxfId="540" priority="655">
      <formula>IF(VLOOKUP($DL$3,optionalAttributePTDMap,MATCH($A14,attributeMapFeedProductType,0)+1,FALSE)&gt;0,1,0)</formula>
    </cfRule>
    <cfRule type="expression" dxfId="539" priority="656">
      <formula>IF(VLOOKUP($DL$3,preferredAttributePTDMap,MATCH($A14,attributeMapFeedProductType,0)+1,FALSE)&gt;0,1,0)</formula>
    </cfRule>
    <cfRule type="expression" dxfId="538" priority="657">
      <formula>AND(IF(IFERROR(VLOOKUP($DL$3,requiredAttributePTDMap,MATCH($A14,attributeMapFeedProductType,0)+1,FALSE),0)&gt;0,0,1),IF(IFERROR(VLOOKUP($DL$3,optionalAttributePTDMap,MATCH($A14,attributeMapFeedProductType,0)+1,FALSE),0)&gt;0,0,1),IF(IFERROR(VLOOKUP($DL$3,preferredAttributePTDMap,MATCH($A14,attributeMapFeedProductType,0)+1,FALSE),0)&gt;0,0,1),IF(IFERROR(MATCH($A14,attributeMapFeedProductType,0),0)&gt;0,1,0))</formula>
    </cfRule>
  </conditionalFormatting>
  <conditionalFormatting sqref="DM14:DM17">
    <cfRule type="expression" dxfId="537" priority="658">
      <formula>AND(AND((0)),1=1)</formula>
    </cfRule>
    <cfRule type="expression" dxfId="536" priority="659">
      <formula>AND(AND(OR(AND(AND(IF(COUNTIF(CONDITION_LIST_1, DL14)&gt;0,FALSE,TRUE)))),A14&lt;&gt;""))</formula>
    </cfRule>
    <cfRule type="expression" dxfId="535" priority="660">
      <formula>IF(LEN(DM14)&gt;0,1,0)</formula>
    </cfRule>
    <cfRule type="expression" dxfId="534" priority="661">
      <formula>IF(VLOOKUP($DM$3,requiredAttributePTDMap,MATCH($A14,attributeMapFeedProductType,0)+1,FALSE)&gt;0,1,0)</formula>
    </cfRule>
    <cfRule type="expression" dxfId="533" priority="662">
      <formula>IF(VLOOKUP($DM$3,optionalAttributePTDMap,MATCH($A14,attributeMapFeedProductType,0)+1,FALSE)&gt;0,1,0)</formula>
    </cfRule>
    <cfRule type="expression" dxfId="532" priority="663">
      <formula>IF(VLOOKUP($DM$3,preferredAttributePTDMap,MATCH($A14,attributeMapFeedProductType,0)+1,FALSE)&gt;0,1,0)</formula>
    </cfRule>
    <cfRule type="expression" dxfId="531" priority="664">
      <formula>AND(IF(IFERROR(VLOOKUP($DM$3,requiredAttributePTDMap,MATCH($A14,attributeMapFeedProductType,0)+1,FALSE),0)&gt;0,0,1),IF(IFERROR(VLOOKUP($DM$3,optionalAttributePTDMap,MATCH($A14,attributeMapFeedProductType,0)+1,FALSE),0)&gt;0,0,1),IF(IFERROR(VLOOKUP($DM$3,preferredAttributePTDMap,MATCH($A14,attributeMapFeedProductType,0)+1,FALSE),0)&gt;0,0,1),IF(IFERROR(MATCH($A14,attributeMapFeedProductType,0),0)&gt;0,1,0))</formula>
    </cfRule>
  </conditionalFormatting>
  <conditionalFormatting sqref="DN14:DN17">
    <cfRule type="expression" dxfId="530" priority="665">
      <formula>AND(AND((0)),1=1)</formula>
    </cfRule>
    <cfRule type="expression" dxfId="529" priority="666">
      <formula>AND(AND(OR(AND(AND(IF(COUNTIF(CONDITION_LIST_1, DL14)&gt;0,FALSE,TRUE)))),A14&lt;&gt;""))</formula>
    </cfRule>
    <cfRule type="expression" dxfId="528" priority="667">
      <formula>IF(LEN(DN14)&gt;0,1,0)</formula>
    </cfRule>
    <cfRule type="expression" dxfId="527" priority="668">
      <formula>IF(VLOOKUP($DN$3,requiredAttributePTDMap,MATCH($A14,attributeMapFeedProductType,0)+1,FALSE)&gt;0,1,0)</formula>
    </cfRule>
    <cfRule type="expression" dxfId="526" priority="669">
      <formula>IF(VLOOKUP($DN$3,optionalAttributePTDMap,MATCH($A14,attributeMapFeedProductType,0)+1,FALSE)&gt;0,1,0)</formula>
    </cfRule>
    <cfRule type="expression" dxfId="525" priority="670">
      <formula>IF(VLOOKUP($DN$3,preferredAttributePTDMap,MATCH($A14,attributeMapFeedProductType,0)+1,FALSE)&gt;0,1,0)</formula>
    </cfRule>
    <cfRule type="expression" dxfId="524" priority="671">
      <formula>AND(IF(IFERROR(VLOOKUP($DN$3,requiredAttributePTDMap,MATCH($A14,attributeMapFeedProductType,0)+1,FALSE),0)&gt;0,0,1),IF(IFERROR(VLOOKUP($DN$3,optionalAttributePTDMap,MATCH($A14,attributeMapFeedProductType,0)+1,FALSE),0)&gt;0,0,1),IF(IFERROR(VLOOKUP($DN$3,preferredAttributePTDMap,MATCH($A14,attributeMapFeedProductType,0)+1,FALSE),0)&gt;0,0,1),IF(IFERROR(MATCH($A14,attributeMapFeedProductType,0),0)&gt;0,1,0))</formula>
    </cfRule>
  </conditionalFormatting>
  <conditionalFormatting sqref="DO14:DO17">
    <cfRule type="expression" dxfId="523" priority="672">
      <formula>AND(AND((0)),1=1)</formula>
    </cfRule>
    <cfRule type="expression" dxfId="522" priority="673">
      <formula>AND(AND(OR(AND(AND(IF(COUNTIF(CONDITION_LIST_1, DL14)&gt;0,FALSE,TRUE)))),A14&lt;&gt;""))</formula>
    </cfRule>
    <cfRule type="expression" dxfId="521" priority="674">
      <formula>IF(LEN(DO14)&gt;0,1,0)</formula>
    </cfRule>
    <cfRule type="expression" dxfId="520" priority="675">
      <formula>IF(VLOOKUP($DO$3,requiredAttributePTDMap,MATCH($A14,attributeMapFeedProductType,0)+1,FALSE)&gt;0,1,0)</formula>
    </cfRule>
    <cfRule type="expression" dxfId="519" priority="676">
      <formula>IF(VLOOKUP($DO$3,optionalAttributePTDMap,MATCH($A14,attributeMapFeedProductType,0)+1,FALSE)&gt;0,1,0)</formula>
    </cfRule>
    <cfRule type="expression" dxfId="518" priority="677">
      <formula>IF(VLOOKUP($DO$3,preferredAttributePTDMap,MATCH($A14,attributeMapFeedProductType,0)+1,FALSE)&gt;0,1,0)</formula>
    </cfRule>
    <cfRule type="expression" dxfId="517" priority="678">
      <formula>AND(IF(IFERROR(VLOOKUP($DO$3,requiredAttributePTDMap,MATCH($A14,attributeMapFeedProductType,0)+1,FALSE),0)&gt;0,0,1),IF(IFERROR(VLOOKUP($DO$3,optionalAttributePTDMap,MATCH($A14,attributeMapFeedProductType,0)+1,FALSE),0)&gt;0,0,1),IF(IFERROR(VLOOKUP($DO$3,preferredAttributePTDMap,MATCH($A14,attributeMapFeedProductType,0)+1,FALSE),0)&gt;0,0,1),IF(IFERROR(MATCH($A14,attributeMapFeedProductType,0),0)&gt;0,1,0))</formula>
    </cfRule>
  </conditionalFormatting>
  <conditionalFormatting sqref="DP14:DP17">
    <cfRule type="expression" dxfId="516" priority="679">
      <formula>AND(AND((0)),1=1)</formula>
    </cfRule>
    <cfRule type="expression" dxfId="515" priority="680">
      <formula>AND(AND(OR(AND(AND(IF(COUNTIF(CONDITION_LIST_1, DL14)&gt;0,FALSE,TRUE)))),A14&lt;&gt;""))</formula>
    </cfRule>
    <cfRule type="expression" dxfId="514" priority="681">
      <formula>IF(LEN(DP14)&gt;0,1,0)</formula>
    </cfRule>
    <cfRule type="expression" dxfId="513" priority="682">
      <formula>IF(VLOOKUP($DP$3,requiredAttributePTDMap,MATCH($A14,attributeMapFeedProductType,0)+1,FALSE)&gt;0,1,0)</formula>
    </cfRule>
    <cfRule type="expression" dxfId="512" priority="683">
      <formula>IF(VLOOKUP($DP$3,optionalAttributePTDMap,MATCH($A14,attributeMapFeedProductType,0)+1,FALSE)&gt;0,1,0)</formula>
    </cfRule>
    <cfRule type="expression" dxfId="511" priority="684">
      <formula>IF(VLOOKUP($DP$3,preferredAttributePTDMap,MATCH($A14,attributeMapFeedProductType,0)+1,FALSE)&gt;0,1,0)</formula>
    </cfRule>
    <cfRule type="expression" dxfId="510" priority="685">
      <formula>AND(IF(IFERROR(VLOOKUP($DP$3,requiredAttributePTDMap,MATCH($A14,attributeMapFeedProductType,0)+1,FALSE),0)&gt;0,0,1),IF(IFERROR(VLOOKUP($DP$3,optionalAttributePTDMap,MATCH($A14,attributeMapFeedProductType,0)+1,FALSE),0)&gt;0,0,1),IF(IFERROR(VLOOKUP($DP$3,preferredAttributePTDMap,MATCH($A14,attributeMapFeedProductType,0)+1,FALSE),0)&gt;0,0,1),IF(IFERROR(MATCH($A14,attributeMapFeedProductType,0),0)&gt;0,1,0))</formula>
    </cfRule>
  </conditionalFormatting>
  <conditionalFormatting sqref="DQ14:DQ17">
    <cfRule type="expression" dxfId="509" priority="686">
      <formula>AND(AND((0)),1=1)</formula>
    </cfRule>
    <cfRule type="expression" dxfId="508" priority="687">
      <formula>AND(AND(OR(AND(OR(OR(NOT(CH14&lt;&gt;"DEFAULT"),CH14="")))),A14&lt;&gt;""))</formula>
    </cfRule>
    <cfRule type="expression" dxfId="507" priority="688">
      <formula>IF(LEN(DQ14)&gt;0,1,0)</formula>
    </cfRule>
    <cfRule type="expression" dxfId="506" priority="689">
      <formula>IF(VLOOKUP($DQ$3,requiredAttributePTDMap,MATCH($A14,attributeMapFeedProductType,0)+1,FALSE)&gt;0,1,0)</formula>
    </cfRule>
    <cfRule type="expression" dxfId="505" priority="690">
      <formula>IF(VLOOKUP($DQ$3,optionalAttributePTDMap,MATCH($A14,attributeMapFeedProductType,0)+1,FALSE)&gt;0,1,0)</formula>
    </cfRule>
    <cfRule type="expression" dxfId="504" priority="691">
      <formula>IF(VLOOKUP($DQ$3,preferredAttributePTDMap,MATCH($A14,attributeMapFeedProductType,0)+1,FALSE)&gt;0,1,0)</formula>
    </cfRule>
    <cfRule type="expression" dxfId="503" priority="692">
      <formula>AND(IF(IFERROR(VLOOKUP($DQ$3,requiredAttributePTDMap,MATCH($A14,attributeMapFeedProductType,0)+1,FALSE),0)&gt;0,0,1),IF(IFERROR(VLOOKUP($DQ$3,optionalAttributePTDMap,MATCH($A14,attributeMapFeedProductType,0)+1,FALSE),0)&gt;0,0,1),IF(IFERROR(VLOOKUP($DQ$3,preferredAttributePTDMap,MATCH($A14,attributeMapFeedProductType,0)+1,FALSE),0)&gt;0,0,1),IF(IFERROR(MATCH($A14,attributeMapFeedProductType,0),0)&gt;0,1,0))</formula>
    </cfRule>
  </conditionalFormatting>
  <conditionalFormatting sqref="DR14:DR17">
    <cfRule type="expression" dxfId="502" priority="693">
      <formula>AND(AND((0)),1=1)</formula>
    </cfRule>
    <cfRule type="expression" dxfId="501" priority="694">
      <formula>AND(AND(OR(AND(OR(OR(NOT(CH14&lt;&gt;"DEFAULT"),CH14="")))),A14&lt;&gt;""))</formula>
    </cfRule>
    <cfRule type="expression" dxfId="500" priority="695">
      <formula>IF(LEN(DR14)&gt;0,1,0)</formula>
    </cfRule>
    <cfRule type="expression" dxfId="499" priority="696">
      <formula>IF(VLOOKUP($DR$3,requiredAttributePTDMap,MATCH($A14,attributeMapFeedProductType,0)+1,FALSE)&gt;0,1,0)</formula>
    </cfRule>
    <cfRule type="expression" dxfId="498" priority="697">
      <formula>IF(VLOOKUP($DR$3,optionalAttributePTDMap,MATCH($A14,attributeMapFeedProductType,0)+1,FALSE)&gt;0,1,0)</formula>
    </cfRule>
    <cfRule type="expression" dxfId="497" priority="698">
      <formula>IF(VLOOKUP($DR$3,preferredAttributePTDMap,MATCH($A14,attributeMapFeedProductType,0)+1,FALSE)&gt;0,1,0)</formula>
    </cfRule>
    <cfRule type="expression" dxfId="496" priority="699">
      <formula>AND(IF(IFERROR(VLOOKUP($DR$3,requiredAttributePTDMap,MATCH($A14,attributeMapFeedProductType,0)+1,FALSE),0)&gt;0,0,1),IF(IFERROR(VLOOKUP($DR$3,optionalAttributePTDMap,MATCH($A14,attributeMapFeedProductType,0)+1,FALSE),0)&gt;0,0,1),IF(IFERROR(VLOOKUP($DR$3,preferredAttributePTDMap,MATCH($A14,attributeMapFeedProductType,0)+1,FALSE),0)&gt;0,0,1),IF(IFERROR(MATCH($A14,attributeMapFeedProductType,0),0)&gt;0,1,0))</formula>
    </cfRule>
  </conditionalFormatting>
  <conditionalFormatting sqref="DS14:DS17">
    <cfRule type="expression" dxfId="495" priority="700">
      <formula>AND(AND((0)),1=1)</formula>
    </cfRule>
    <cfRule type="expression" dxfId="494" priority="701">
      <formula>AND(AND(OR(AND(OR(OR(NOT(CH14&lt;&gt;"DEFAULT"),CH14="")))),A14&lt;&gt;""))</formula>
    </cfRule>
    <cfRule type="expression" dxfId="493" priority="702">
      <formula>IF(LEN(DS14)&gt;0,1,0)</formula>
    </cfRule>
    <cfRule type="expression" dxfId="492" priority="703">
      <formula>IF(VLOOKUP($DS$3,requiredAttributePTDMap,MATCH($A14,attributeMapFeedProductType,0)+1,FALSE)&gt;0,1,0)</formula>
    </cfRule>
    <cfRule type="expression" dxfId="491" priority="704">
      <formula>IF(VLOOKUP($DS$3,optionalAttributePTDMap,MATCH($A14,attributeMapFeedProductType,0)+1,FALSE)&gt;0,1,0)</formula>
    </cfRule>
    <cfRule type="expression" dxfId="490" priority="705">
      <formula>IF(VLOOKUP($DS$3,preferredAttributePTDMap,MATCH($A14,attributeMapFeedProductType,0)+1,FALSE)&gt;0,1,0)</formula>
    </cfRule>
    <cfRule type="expression" dxfId="489" priority="706">
      <formula>AND(IF(IFERROR(VLOOKUP($DS$3,requiredAttributePTDMap,MATCH($A14,attributeMapFeedProductType,0)+1,FALSE),0)&gt;0,0,1),IF(IFERROR(VLOOKUP($DS$3,optionalAttributePTDMap,MATCH($A14,attributeMapFeedProductType,0)+1,FALSE),0)&gt;0,0,1),IF(IFERROR(VLOOKUP($DS$3,preferredAttributePTDMap,MATCH($A14,attributeMapFeedProductType,0)+1,FALSE),0)&gt;0,0,1),IF(IFERROR(MATCH($A14,attributeMapFeedProductType,0),0)&gt;0,1,0))</formula>
    </cfRule>
  </conditionalFormatting>
  <conditionalFormatting sqref="DT14:DT17">
    <cfRule type="expression" dxfId="488" priority="707">
      <formula>AND(AND((0)),1=1)</formula>
    </cfRule>
    <cfRule type="expression" dxfId="487" priority="708">
      <formula>AND(AND(OR(AND(OR(OR(NOT(CH14&lt;&gt;"DEFAULT"),CH14="")))),A14&lt;&gt;""))</formula>
    </cfRule>
    <cfRule type="expression" dxfId="486" priority="709">
      <formula>IF(LEN(DT14)&gt;0,1,0)</formula>
    </cfRule>
    <cfRule type="expression" dxfId="485" priority="710">
      <formula>IF(VLOOKUP($DT$3,requiredAttributePTDMap,MATCH($A14,attributeMapFeedProductType,0)+1,FALSE)&gt;0,1,0)</formula>
    </cfRule>
    <cfRule type="expression" dxfId="484" priority="711">
      <formula>IF(VLOOKUP($DT$3,optionalAttributePTDMap,MATCH($A14,attributeMapFeedProductType,0)+1,FALSE)&gt;0,1,0)</formula>
    </cfRule>
    <cfRule type="expression" dxfId="483" priority="712">
      <formula>IF(VLOOKUP($DT$3,preferredAttributePTDMap,MATCH($A14,attributeMapFeedProductType,0)+1,FALSE)&gt;0,1,0)</formula>
    </cfRule>
    <cfRule type="expression" dxfId="482" priority="713">
      <formula>AND(IF(IFERROR(VLOOKUP($DT$3,requiredAttributePTDMap,MATCH($A14,attributeMapFeedProductType,0)+1,FALSE),0)&gt;0,0,1),IF(IFERROR(VLOOKUP($DT$3,optionalAttributePTDMap,MATCH($A14,attributeMapFeedProductType,0)+1,FALSE),0)&gt;0,0,1),IF(IFERROR(VLOOKUP($DT$3,preferredAttributePTDMap,MATCH($A14,attributeMapFeedProductType,0)+1,FALSE),0)&gt;0,0,1),IF(IFERROR(MATCH($A14,attributeMapFeedProductType,0),0)&gt;0,1,0))</formula>
    </cfRule>
  </conditionalFormatting>
  <conditionalFormatting sqref="DU14:DU17">
    <cfRule type="expression" dxfId="481" priority="714">
      <formula>AND(AND((0)),1=1)</formula>
    </cfRule>
    <cfRule type="expression" dxfId="480" priority="715">
      <formula>AND(AND(OR(AND(OR(OR(NOT(CH14&lt;&gt;"DEFAULT"),CH14="")))),A14&lt;&gt;""))</formula>
    </cfRule>
    <cfRule type="expression" dxfId="479" priority="716">
      <formula>IF(LEN(DU14)&gt;0,1,0)</formula>
    </cfRule>
    <cfRule type="expression" dxfId="478" priority="717">
      <formula>IF(VLOOKUP($DU$3,requiredAttributePTDMap,MATCH($A14,attributeMapFeedProductType,0)+1,FALSE)&gt;0,1,0)</formula>
    </cfRule>
    <cfRule type="expression" dxfId="477" priority="718">
      <formula>IF(VLOOKUP($DU$3,optionalAttributePTDMap,MATCH($A14,attributeMapFeedProductType,0)+1,FALSE)&gt;0,1,0)</formula>
    </cfRule>
    <cfRule type="expression" dxfId="476" priority="719">
      <formula>IF(VLOOKUP($DU$3,preferredAttributePTDMap,MATCH($A14,attributeMapFeedProductType,0)+1,FALSE)&gt;0,1,0)</formula>
    </cfRule>
    <cfRule type="expression" dxfId="475" priority="720">
      <formula>AND(IF(IFERROR(VLOOKUP($DU$3,requiredAttributePTDMap,MATCH($A14,attributeMapFeedProductType,0)+1,FALSE),0)&gt;0,0,1),IF(IFERROR(VLOOKUP($DU$3,optionalAttributePTDMap,MATCH($A14,attributeMapFeedProductType,0)+1,FALSE),0)&gt;0,0,1),IF(IFERROR(VLOOKUP($DU$3,preferredAttributePTDMap,MATCH($A14,attributeMapFeedProductType,0)+1,FALSE),0)&gt;0,0,1),IF(IFERROR(MATCH($A14,attributeMapFeedProductType,0),0)&gt;0,1,0))</formula>
    </cfRule>
  </conditionalFormatting>
  <conditionalFormatting sqref="DV14:DV17">
    <cfRule type="expression" dxfId="474" priority="721">
      <formula>AND(AND((0)),1=1)</formula>
    </cfRule>
    <cfRule type="expression" dxfId="473" priority="722">
      <formula>AND(AND(OR(AND(AND(IF(COUNTIF(CONDITION_LIST_2, DQ14)&gt;0,FALSE,TRUE)),AND(IF(COUNTIF(CONDITION_LIST_2, DR14)&gt;0,FALSE,TRUE)),AND(IF(COUNTIF(CONDITION_LIST_2, DS14)&gt;0,FALSE,TRUE)),AND(IF(COUNTIF(CONDITION_LIST_2, DT14)&gt;0,FALSE,TRUE)),AND(IF(COUNTIF(CONDITION_LIST_2, DU14)&gt;0,FALSE,TRUE)))),A14&lt;&gt;""))</formula>
    </cfRule>
    <cfRule type="expression" dxfId="472" priority="723">
      <formula>IF(LEN(DV14)&gt;0,1,0)</formula>
    </cfRule>
    <cfRule type="expression" dxfId="471" priority="724">
      <formula>IF(VLOOKUP($DV$3,requiredAttributePTDMap,MATCH($A14,attributeMapFeedProductType,0)+1,FALSE)&gt;0,1,0)</formula>
    </cfRule>
    <cfRule type="expression" dxfId="470" priority="725">
      <formula>IF(VLOOKUP($DV$3,optionalAttributePTDMap,MATCH($A14,attributeMapFeedProductType,0)+1,FALSE)&gt;0,1,0)</formula>
    </cfRule>
    <cfRule type="expression" dxfId="469" priority="726">
      <formula>IF(VLOOKUP($DV$3,preferredAttributePTDMap,MATCH($A14,attributeMapFeedProductType,0)+1,FALSE)&gt;0,1,0)</formula>
    </cfRule>
    <cfRule type="expression" dxfId="468" priority="727">
      <formula>AND(IF(IFERROR(VLOOKUP($DV$3,requiredAttributePTDMap,MATCH($A14,attributeMapFeedProductType,0)+1,FALSE),0)&gt;0,0,1),IF(IFERROR(VLOOKUP($DV$3,optionalAttributePTDMap,MATCH($A14,attributeMapFeedProductType,0)+1,FALSE),0)&gt;0,0,1),IF(IFERROR(VLOOKUP($DV$3,preferredAttributePTDMap,MATCH($A14,attributeMapFeedProductType,0)+1,FALSE),0)&gt;0,0,1),IF(IFERROR(MATCH($A14,attributeMapFeedProductType,0),0)&gt;0,1,0))</formula>
    </cfRule>
  </conditionalFormatting>
  <conditionalFormatting sqref="DW14:DW17">
    <cfRule type="expression" dxfId="467" priority="728">
      <formula>AND(AND((0)),1=1)</formula>
    </cfRule>
    <cfRule type="expression" dxfId="466" priority="729">
      <formula>AND(AND(OR(AND(OR(OR(NOT(DQ14&lt;&gt;"GHS"),DQ14="")),OR(OR(NOT(DR14&lt;&gt;"GHS"),DR14="")),OR(OR(NOT(DS14&lt;&gt;"GHS"),DS14="")),OR(OR(NOT(DT14&lt;&gt;"GHS"),DT14="")),OR(OR(NOT(DU14&lt;&gt;"GHS"),DU14="")))),A14&lt;&gt;""))</formula>
    </cfRule>
    <cfRule type="expression" dxfId="465" priority="730">
      <formula>IF(LEN(DW14)&gt;0,1,0)</formula>
    </cfRule>
    <cfRule type="expression" dxfId="464" priority="731">
      <formula>IF(VLOOKUP($DW$3,requiredAttributePTDMap,MATCH($A14,attributeMapFeedProductType,0)+1,FALSE)&gt;0,1,0)</formula>
    </cfRule>
    <cfRule type="expression" dxfId="463" priority="732">
      <formula>IF(VLOOKUP($DW$3,optionalAttributePTDMap,MATCH($A14,attributeMapFeedProductType,0)+1,FALSE)&gt;0,1,0)</formula>
    </cfRule>
    <cfRule type="expression" dxfId="462" priority="733">
      <formula>IF(VLOOKUP($DW$3,preferredAttributePTDMap,MATCH($A14,attributeMapFeedProductType,0)+1,FALSE)&gt;0,1,0)</formula>
    </cfRule>
    <cfRule type="expression" dxfId="461" priority="734">
      <formula>AND(IF(IFERROR(VLOOKUP($DW$3,requiredAttributePTDMap,MATCH($A14,attributeMapFeedProductType,0)+1,FALSE),0)&gt;0,0,1),IF(IFERROR(VLOOKUP($DW$3,optionalAttributePTDMap,MATCH($A14,attributeMapFeedProductType,0)+1,FALSE),0)&gt;0,0,1),IF(IFERROR(VLOOKUP($DW$3,preferredAttributePTDMap,MATCH($A14,attributeMapFeedProductType,0)+1,FALSE),0)&gt;0,0,1),IF(IFERROR(MATCH($A14,attributeMapFeedProductType,0),0)&gt;0,1,0))</formula>
    </cfRule>
  </conditionalFormatting>
  <conditionalFormatting sqref="DX14:DX17">
    <cfRule type="expression" dxfId="460" priority="735">
      <formula>IF(LEN(DX14)&gt;0,1,0)</formula>
    </cfRule>
    <cfRule type="expression" dxfId="459" priority="736">
      <formula>IF(VLOOKUP($DX$3,requiredAttributePTDMap,MATCH($A14,attributeMapFeedProductType,0)+1,FALSE)&gt;0,1,0)</formula>
    </cfRule>
    <cfRule type="expression" dxfId="458" priority="737">
      <formula>IF(VLOOKUP($DX$3,optionalAttributePTDMap,MATCH($A14,attributeMapFeedProductType,0)+1,FALSE)&gt;0,1,0)</formula>
    </cfRule>
    <cfRule type="expression" dxfId="457" priority="738">
      <formula>IF(VLOOKUP($DX$3,preferredAttributePTDMap,MATCH($A14,attributeMapFeedProductType,0)+1,FALSE)&gt;0,1,0)</formula>
    </cfRule>
    <cfRule type="expression" dxfId="456" priority="739">
      <formula>AND(IF(IFERROR(VLOOKUP($DX$3,requiredAttributePTDMap,MATCH($A14,attributeMapFeedProductType,0)+1,FALSE),0)&gt;0,0,1),IF(IFERROR(VLOOKUP($DX$3,optionalAttributePTDMap,MATCH($A14,attributeMapFeedProductType,0)+1,FALSE),0)&gt;0,0,1),IF(IFERROR(VLOOKUP($DX$3,preferredAttributePTDMap,MATCH($A14,attributeMapFeedProductType,0)+1,FALSE),0)&gt;0,0,1),IF(IFERROR(MATCH($A14,attributeMapFeedProductType,0),0)&gt;0,1,0))</formula>
    </cfRule>
  </conditionalFormatting>
  <conditionalFormatting sqref="DY14:DY17">
    <cfRule type="expression" dxfId="455" priority="740">
      <formula>IF(LEN(DY14)&gt;0,1,0)</formula>
    </cfRule>
    <cfRule type="expression" dxfId="454" priority="741">
      <formula>IF(VLOOKUP($DY$3,requiredAttributePTDMap,MATCH($A14,attributeMapFeedProductType,0)+1,FALSE)&gt;0,1,0)</formula>
    </cfRule>
    <cfRule type="expression" dxfId="453" priority="742">
      <formula>IF(VLOOKUP($DY$3,optionalAttributePTDMap,MATCH($A14,attributeMapFeedProductType,0)+1,FALSE)&gt;0,1,0)</formula>
    </cfRule>
    <cfRule type="expression" dxfId="452" priority="743">
      <formula>IF(VLOOKUP($DY$3,preferredAttributePTDMap,MATCH($A14,attributeMapFeedProductType,0)+1,FALSE)&gt;0,1,0)</formula>
    </cfRule>
    <cfRule type="expression" dxfId="451" priority="744">
      <formula>AND(IF(IFERROR(VLOOKUP($DY$3,requiredAttributePTDMap,MATCH($A14,attributeMapFeedProductType,0)+1,FALSE),0)&gt;0,0,1),IF(IFERROR(VLOOKUP($DY$3,optionalAttributePTDMap,MATCH($A14,attributeMapFeedProductType,0)+1,FALSE),0)&gt;0,0,1),IF(IFERROR(VLOOKUP($DY$3,preferredAttributePTDMap,MATCH($A14,attributeMapFeedProductType,0)+1,FALSE),0)&gt;0,0,1),IF(IFERROR(MATCH($A14,attributeMapFeedProductType,0),0)&gt;0,1,0))</formula>
    </cfRule>
  </conditionalFormatting>
  <conditionalFormatting sqref="DZ14:DZ17">
    <cfRule type="expression" dxfId="450" priority="745">
      <formula>IF(LEN(DZ14)&gt;0,1,0)</formula>
    </cfRule>
    <cfRule type="expression" dxfId="449" priority="746">
      <formula>IF(VLOOKUP($DZ$3,requiredAttributePTDMap,MATCH($A14,attributeMapFeedProductType,0)+1,FALSE)&gt;0,1,0)</formula>
    </cfRule>
    <cfRule type="expression" dxfId="448" priority="747">
      <formula>IF(VLOOKUP($DZ$3,optionalAttributePTDMap,MATCH($A14,attributeMapFeedProductType,0)+1,FALSE)&gt;0,1,0)</formula>
    </cfRule>
    <cfRule type="expression" dxfId="447" priority="748">
      <formula>IF(VLOOKUP($DZ$3,preferredAttributePTDMap,MATCH($A14,attributeMapFeedProductType,0)+1,FALSE)&gt;0,1,0)</formula>
    </cfRule>
    <cfRule type="expression" dxfId="446" priority="749">
      <formula>AND(IF(IFERROR(VLOOKUP($DZ$3,requiredAttributePTDMap,MATCH($A14,attributeMapFeedProductType,0)+1,FALSE),0)&gt;0,0,1),IF(IFERROR(VLOOKUP($DZ$3,optionalAttributePTDMap,MATCH($A14,attributeMapFeedProductType,0)+1,FALSE),0)&gt;0,0,1),IF(IFERROR(VLOOKUP($DZ$3,preferredAttributePTDMap,MATCH($A14,attributeMapFeedProductType,0)+1,FALSE),0)&gt;0,0,1),IF(IFERROR(MATCH($A14,attributeMapFeedProductType,0),0)&gt;0,1,0))</formula>
    </cfRule>
  </conditionalFormatting>
  <conditionalFormatting sqref="EA14:EA17">
    <cfRule type="expression" dxfId="445" priority="750">
      <formula>IF(LEN(EA14)&gt;0,1,0)</formula>
    </cfRule>
    <cfRule type="expression" dxfId="444" priority="751">
      <formula>IF(VLOOKUP($EA$3,requiredAttributePTDMap,MATCH($A14,attributeMapFeedProductType,0)+1,FALSE)&gt;0,1,0)</formula>
    </cfRule>
    <cfRule type="expression" dxfId="443" priority="752">
      <formula>IF(VLOOKUP($EA$3,optionalAttributePTDMap,MATCH($A14,attributeMapFeedProductType,0)+1,FALSE)&gt;0,1,0)</formula>
    </cfRule>
    <cfRule type="expression" dxfId="442" priority="753">
      <formula>IF(VLOOKUP($EA$3,preferredAttributePTDMap,MATCH($A14,attributeMapFeedProductType,0)+1,FALSE)&gt;0,1,0)</formula>
    </cfRule>
    <cfRule type="expression" dxfId="441" priority="754">
      <formula>AND(IF(IFERROR(VLOOKUP($EA$3,requiredAttributePTDMap,MATCH($A14,attributeMapFeedProductType,0)+1,FALSE),0)&gt;0,0,1),IF(IFERROR(VLOOKUP($EA$3,optionalAttributePTDMap,MATCH($A14,attributeMapFeedProductType,0)+1,FALSE),0)&gt;0,0,1),IF(IFERROR(VLOOKUP($EA$3,preferredAttributePTDMap,MATCH($A14,attributeMapFeedProductType,0)+1,FALSE),0)&gt;0,0,1),IF(IFERROR(MATCH($A14,attributeMapFeedProductType,0),0)&gt;0,1,0))</formula>
    </cfRule>
  </conditionalFormatting>
  <conditionalFormatting sqref="EB14:EB17">
    <cfRule type="expression" dxfId="440" priority="755">
      <formula>IF(LEN(EB14)&gt;0,1,0)</formula>
    </cfRule>
    <cfRule type="expression" dxfId="439" priority="756">
      <formula>IF(VLOOKUP($EB$3,requiredAttributePTDMap,MATCH($A14,attributeMapFeedProductType,0)+1,FALSE)&gt;0,1,0)</formula>
    </cfRule>
    <cfRule type="expression" dxfId="438" priority="757">
      <formula>IF(VLOOKUP($EB$3,optionalAttributePTDMap,MATCH($A14,attributeMapFeedProductType,0)+1,FALSE)&gt;0,1,0)</formula>
    </cfRule>
    <cfRule type="expression" dxfId="437" priority="758">
      <formula>IF(VLOOKUP($EB$3,preferredAttributePTDMap,MATCH($A14,attributeMapFeedProductType,0)+1,FALSE)&gt;0,1,0)</formula>
    </cfRule>
    <cfRule type="expression" dxfId="436" priority="759">
      <formula>AND(IF(IFERROR(VLOOKUP($EB$3,requiredAttributePTDMap,MATCH($A14,attributeMapFeedProductType,0)+1,FALSE),0)&gt;0,0,1),IF(IFERROR(VLOOKUP($EB$3,optionalAttributePTDMap,MATCH($A14,attributeMapFeedProductType,0)+1,FALSE),0)&gt;0,0,1),IF(IFERROR(VLOOKUP($EB$3,preferredAttributePTDMap,MATCH($A14,attributeMapFeedProductType,0)+1,FALSE),0)&gt;0,0,1),IF(IFERROR(MATCH($A14,attributeMapFeedProductType,0),0)&gt;0,1,0))</formula>
    </cfRule>
  </conditionalFormatting>
  <conditionalFormatting sqref="EC14:EC17">
    <cfRule type="expression" dxfId="435" priority="760">
      <formula>IF(LEN(EC14)&gt;0,1,0)</formula>
    </cfRule>
    <cfRule type="expression" dxfId="434" priority="761">
      <formula>IF(VLOOKUP($EC$3,requiredAttributePTDMap,MATCH($A14,attributeMapFeedProductType,0)+1,FALSE)&gt;0,1,0)</formula>
    </cfRule>
    <cfRule type="expression" dxfId="433" priority="762">
      <formula>IF(VLOOKUP($EC$3,optionalAttributePTDMap,MATCH($A14,attributeMapFeedProductType,0)+1,FALSE)&gt;0,1,0)</formula>
    </cfRule>
    <cfRule type="expression" dxfId="432" priority="763">
      <formula>IF(VLOOKUP($EC$3,preferredAttributePTDMap,MATCH($A14,attributeMapFeedProductType,0)+1,FALSE)&gt;0,1,0)</formula>
    </cfRule>
    <cfRule type="expression" dxfId="431" priority="764">
      <formula>AND(IF(IFERROR(VLOOKUP($EC$3,requiredAttributePTDMap,MATCH($A14,attributeMapFeedProductType,0)+1,FALSE),0)&gt;0,0,1),IF(IFERROR(VLOOKUP($EC$3,optionalAttributePTDMap,MATCH($A14,attributeMapFeedProductType,0)+1,FALSE),0)&gt;0,0,1),IF(IFERROR(VLOOKUP($EC$3,preferredAttributePTDMap,MATCH($A14,attributeMapFeedProductType,0)+1,FALSE),0)&gt;0,0,1),IF(IFERROR(MATCH($A14,attributeMapFeedProductType,0),0)&gt;0,1,0))</formula>
    </cfRule>
  </conditionalFormatting>
  <conditionalFormatting sqref="ED14:ED17">
    <cfRule type="expression" dxfId="430" priority="765">
      <formula>IF(LEN(ED14)&gt;0,1,0)</formula>
    </cfRule>
    <cfRule type="expression" dxfId="429" priority="766">
      <formula>IF(VLOOKUP($ED$3,requiredAttributePTDMap,MATCH($A14,attributeMapFeedProductType,0)+1,FALSE)&gt;0,1,0)</formula>
    </cfRule>
    <cfRule type="expression" dxfId="428" priority="767">
      <formula>IF(VLOOKUP($ED$3,optionalAttributePTDMap,MATCH($A14,attributeMapFeedProductType,0)+1,FALSE)&gt;0,1,0)</formula>
    </cfRule>
    <cfRule type="expression" dxfId="427" priority="768">
      <formula>IF(VLOOKUP($ED$3,preferredAttributePTDMap,MATCH($A14,attributeMapFeedProductType,0)+1,FALSE)&gt;0,1,0)</formula>
    </cfRule>
    <cfRule type="expression" dxfId="426" priority="769">
      <formula>AND(IF(IFERROR(VLOOKUP($ED$3,requiredAttributePTDMap,MATCH($A14,attributeMapFeedProductType,0)+1,FALSE),0)&gt;0,0,1),IF(IFERROR(VLOOKUP($ED$3,optionalAttributePTDMap,MATCH($A14,attributeMapFeedProductType,0)+1,FALSE),0)&gt;0,0,1),IF(IFERROR(VLOOKUP($ED$3,preferredAttributePTDMap,MATCH($A14,attributeMapFeedProductType,0)+1,FALSE),0)&gt;0,0,1),IF(IFERROR(MATCH($A14,attributeMapFeedProductType,0),0)&gt;0,1,0))</formula>
    </cfRule>
  </conditionalFormatting>
  <conditionalFormatting sqref="EE14:EE17">
    <cfRule type="expression" dxfId="425" priority="770">
      <formula>AND(AND((0)),1=1)</formula>
    </cfRule>
    <cfRule type="expression" dxfId="424" priority="771">
      <formula>AND(AND(OR(AND(AND(IF(COUNTIF(CONDITION_LIST_3, DQ14)&gt;0,FALSE,TRUE)),AND(IF(COUNTIF(CONDITION_LIST_3, DR14)&gt;0,FALSE,TRUE)),AND(IF(COUNTIF(CONDITION_LIST_3, DS14)&gt;0,FALSE,TRUE)),AND(IF(COUNTIF(CONDITION_LIST_3, DT14)&gt;0,FALSE,TRUE)),AND(IF(COUNTIF(CONDITION_LIST_3, DU14)&gt;0,FALSE,TRUE)))),A14&lt;&gt;""))</formula>
    </cfRule>
    <cfRule type="expression" dxfId="423" priority="772">
      <formula>IF(LEN(EE14)&gt;0,1,0)</formula>
    </cfRule>
    <cfRule type="expression" dxfId="422" priority="773">
      <formula>IF(VLOOKUP($EE$3,requiredAttributePTDMap,MATCH($A14,attributeMapFeedProductType,0)+1,FALSE)&gt;0,1,0)</formula>
    </cfRule>
    <cfRule type="expression" dxfId="421" priority="774">
      <formula>IF(VLOOKUP($EE$3,optionalAttributePTDMap,MATCH($A14,attributeMapFeedProductType,0)+1,FALSE)&gt;0,1,0)</formula>
    </cfRule>
    <cfRule type="expression" dxfId="420" priority="775">
      <formula>IF(VLOOKUP($EE$3,preferredAttributePTDMap,MATCH($A14,attributeMapFeedProductType,0)+1,FALSE)&gt;0,1,0)</formula>
    </cfRule>
    <cfRule type="expression" dxfId="419" priority="776">
      <formula>AND(IF(IFERROR(VLOOKUP($EE$3,requiredAttributePTDMap,MATCH($A14,attributeMapFeedProductType,0)+1,FALSE),0)&gt;0,0,1),IF(IFERROR(VLOOKUP($EE$3,optionalAttributePTDMap,MATCH($A14,attributeMapFeedProductType,0)+1,FALSE),0)&gt;0,0,1),IF(IFERROR(VLOOKUP($EE$3,preferredAttributePTDMap,MATCH($A14,attributeMapFeedProductType,0)+1,FALSE),0)&gt;0,0,1),IF(IFERROR(MATCH($A14,attributeMapFeedProductType,0),0)&gt;0,1,0))</formula>
    </cfRule>
  </conditionalFormatting>
  <conditionalFormatting sqref="EF14:EF17">
    <cfRule type="expression" dxfId="418" priority="777">
      <formula>AND(AND((0)),1=1)</formula>
    </cfRule>
    <cfRule type="expression" dxfId="417" priority="778">
      <formula>AND(AND(OR(AND(AND(IF(COUNTIF(CONDITION_LIST_3, DQ14)&gt;0,FALSE,TRUE)),AND(IF(COUNTIF(CONDITION_LIST_3, DR14)&gt;0,FALSE,TRUE)),AND(IF(COUNTIF(CONDITION_LIST_3, DS14)&gt;0,FALSE,TRUE)),AND(IF(COUNTIF(CONDITION_LIST_3, DT14)&gt;0,FALSE,TRUE)),AND(IF(COUNTIF(CONDITION_LIST_3, DU14)&gt;0,FALSE,TRUE)))),A14&lt;&gt;""))</formula>
    </cfRule>
    <cfRule type="expression" dxfId="416" priority="779">
      <formula>IF(LEN(EF14)&gt;0,1,0)</formula>
    </cfRule>
    <cfRule type="expression" dxfId="415" priority="780">
      <formula>IF(VLOOKUP($EF$3,requiredAttributePTDMap,MATCH($A14,attributeMapFeedProductType,0)+1,FALSE)&gt;0,1,0)</formula>
    </cfRule>
    <cfRule type="expression" dxfId="414" priority="781">
      <formula>IF(VLOOKUP($EF$3,optionalAttributePTDMap,MATCH($A14,attributeMapFeedProductType,0)+1,FALSE)&gt;0,1,0)</formula>
    </cfRule>
    <cfRule type="expression" dxfId="413" priority="782">
      <formula>IF(VLOOKUP($EF$3,preferredAttributePTDMap,MATCH($A14,attributeMapFeedProductType,0)+1,FALSE)&gt;0,1,0)</formula>
    </cfRule>
    <cfRule type="expression" dxfId="412" priority="783">
      <formula>AND(IF(IFERROR(VLOOKUP($EF$3,requiredAttributePTDMap,MATCH($A14,attributeMapFeedProductType,0)+1,FALSE),0)&gt;0,0,1),IF(IFERROR(VLOOKUP($EF$3,optionalAttributePTDMap,MATCH($A14,attributeMapFeedProductType,0)+1,FALSE),0)&gt;0,0,1),IF(IFERROR(VLOOKUP($EF$3,preferredAttributePTDMap,MATCH($A14,attributeMapFeedProductType,0)+1,FALSE),0)&gt;0,0,1),IF(IFERROR(MATCH($A14,attributeMapFeedProductType,0),0)&gt;0,1,0))</formula>
    </cfRule>
  </conditionalFormatting>
  <conditionalFormatting sqref="EG14:EG17">
    <cfRule type="expression" dxfId="411" priority="784">
      <formula>AND(AND((0)),1=1)</formula>
    </cfRule>
    <cfRule type="expression" dxfId="410" priority="785">
      <formula>AND(AND(OR(AND(AND(IF(COUNTIF(CONDITION_LIST_3, DQ14)&gt;0,FALSE,TRUE)),AND(IF(COUNTIF(CONDITION_LIST_3, DR14)&gt;0,FALSE,TRUE)),AND(IF(COUNTIF(CONDITION_LIST_3, DS14)&gt;0,FALSE,TRUE)),AND(IF(COUNTIF(CONDITION_LIST_3, DT14)&gt;0,FALSE,TRUE)),AND(IF(COUNTIF(CONDITION_LIST_3, DU14)&gt;0,FALSE,TRUE)))),A14&lt;&gt;""))</formula>
    </cfRule>
    <cfRule type="expression" dxfId="409" priority="786">
      <formula>IF(LEN(EG14)&gt;0,1,0)</formula>
    </cfRule>
    <cfRule type="expression" dxfId="408" priority="787">
      <formula>IF(VLOOKUP($EG$3,requiredAttributePTDMap,MATCH($A14,attributeMapFeedProductType,0)+1,FALSE)&gt;0,1,0)</formula>
    </cfRule>
    <cfRule type="expression" dxfId="407" priority="788">
      <formula>IF(VLOOKUP($EG$3,optionalAttributePTDMap,MATCH($A14,attributeMapFeedProductType,0)+1,FALSE)&gt;0,1,0)</formula>
    </cfRule>
    <cfRule type="expression" dxfId="406" priority="789">
      <formula>IF(VLOOKUP($EG$3,preferredAttributePTDMap,MATCH($A14,attributeMapFeedProductType,0)+1,FALSE)&gt;0,1,0)</formula>
    </cfRule>
    <cfRule type="expression" dxfId="405" priority="790">
      <formula>AND(IF(IFERROR(VLOOKUP($EG$3,requiredAttributePTDMap,MATCH($A14,attributeMapFeedProductType,0)+1,FALSE),0)&gt;0,0,1),IF(IFERROR(VLOOKUP($EG$3,optionalAttributePTDMap,MATCH($A14,attributeMapFeedProductType,0)+1,FALSE),0)&gt;0,0,1),IF(IFERROR(VLOOKUP($EG$3,preferredAttributePTDMap,MATCH($A14,attributeMapFeedProductType,0)+1,FALSE),0)&gt;0,0,1),IF(IFERROR(MATCH($A14,attributeMapFeedProductType,0),0)&gt;0,1,0))</formula>
    </cfRule>
  </conditionalFormatting>
  <conditionalFormatting sqref="EH14:EH17">
    <cfRule type="expression" dxfId="404" priority="791">
      <formula>IF(LEN(EH14)&gt;0,1,0)</formula>
    </cfRule>
    <cfRule type="expression" dxfId="403" priority="792">
      <formula>IF(VLOOKUP($EH$3,requiredAttributePTDMap,MATCH($A14,attributeMapFeedProductType,0)+1,FALSE)&gt;0,1,0)</formula>
    </cfRule>
    <cfRule type="expression" dxfId="402" priority="793">
      <formula>IF(VLOOKUP($EH$3,optionalAttributePTDMap,MATCH($A14,attributeMapFeedProductType,0)+1,FALSE)&gt;0,1,0)</formula>
    </cfRule>
    <cfRule type="expression" dxfId="401" priority="794">
      <formula>IF(VLOOKUP($EH$3,preferredAttributePTDMap,MATCH($A14,attributeMapFeedProductType,0)+1,FALSE)&gt;0,1,0)</formula>
    </cfRule>
    <cfRule type="expression" dxfId="400" priority="795">
      <formula>AND(IF(IFERROR(VLOOKUP($EH$3,requiredAttributePTDMap,MATCH($A14,attributeMapFeedProductType,0)+1,FALSE),0)&gt;0,0,1),IF(IFERROR(VLOOKUP($EH$3,optionalAttributePTDMap,MATCH($A14,attributeMapFeedProductType,0)+1,FALSE),0)&gt;0,0,1),IF(IFERROR(VLOOKUP($EH$3,preferredAttributePTDMap,MATCH($A14,attributeMapFeedProductType,0)+1,FALSE),0)&gt;0,0,1),IF(IFERROR(MATCH($A14,attributeMapFeedProductType,0),0)&gt;0,1,0))</formula>
    </cfRule>
  </conditionalFormatting>
  <conditionalFormatting sqref="EI14:EI17">
    <cfRule type="expression" dxfId="399" priority="796">
      <formula>IF(LEN(EI14)&gt;0,1,0)</formula>
    </cfRule>
    <cfRule type="expression" dxfId="398" priority="797">
      <formula>IF(VLOOKUP($EI$3,requiredAttributePTDMap,MATCH($A14,attributeMapFeedProductType,0)+1,FALSE)&gt;0,1,0)</formula>
    </cfRule>
    <cfRule type="expression" dxfId="397" priority="798">
      <formula>IF(VLOOKUP($EI$3,optionalAttributePTDMap,MATCH($A14,attributeMapFeedProductType,0)+1,FALSE)&gt;0,1,0)</formula>
    </cfRule>
    <cfRule type="expression" dxfId="396" priority="799">
      <formula>IF(VLOOKUP($EI$3,preferredAttributePTDMap,MATCH($A14,attributeMapFeedProductType,0)+1,FALSE)&gt;0,1,0)</formula>
    </cfRule>
    <cfRule type="expression" dxfId="395" priority="800">
      <formula>AND(IF(IFERROR(VLOOKUP($EI$3,requiredAttributePTDMap,MATCH($A14,attributeMapFeedProductType,0)+1,FALSE),0)&gt;0,0,1),IF(IFERROR(VLOOKUP($EI$3,optionalAttributePTDMap,MATCH($A14,attributeMapFeedProductType,0)+1,FALSE),0)&gt;0,0,1),IF(IFERROR(VLOOKUP($EI$3,preferredAttributePTDMap,MATCH($A14,attributeMapFeedProductType,0)+1,FALSE),0)&gt;0,0,1),IF(IFERROR(MATCH($A14,attributeMapFeedProductType,0),0)&gt;0,1,0))</formula>
    </cfRule>
  </conditionalFormatting>
  <conditionalFormatting sqref="EJ14:EJ17">
    <cfRule type="expression" dxfId="394" priority="801">
      <formula>IF(LEN(EJ14)&gt;0,1,0)</formula>
    </cfRule>
    <cfRule type="expression" dxfId="393" priority="802">
      <formula>IF(VLOOKUP($EJ$3,requiredAttributePTDMap,MATCH($A14,attributeMapFeedProductType,0)+1,FALSE)&gt;0,1,0)</formula>
    </cfRule>
    <cfRule type="expression" dxfId="392" priority="803">
      <formula>IF(VLOOKUP($EJ$3,optionalAttributePTDMap,MATCH($A14,attributeMapFeedProductType,0)+1,FALSE)&gt;0,1,0)</formula>
    </cfRule>
    <cfRule type="expression" dxfId="391" priority="804">
      <formula>IF(VLOOKUP($EJ$3,preferredAttributePTDMap,MATCH($A14,attributeMapFeedProductType,0)+1,FALSE)&gt;0,1,0)</formula>
    </cfRule>
    <cfRule type="expression" dxfId="390" priority="805">
      <formula>AND(IF(IFERROR(VLOOKUP($EJ$3,requiredAttributePTDMap,MATCH($A14,attributeMapFeedProductType,0)+1,FALSE),0)&gt;0,0,1),IF(IFERROR(VLOOKUP($EJ$3,optionalAttributePTDMap,MATCH($A14,attributeMapFeedProductType,0)+1,FALSE),0)&gt;0,0,1),IF(IFERROR(VLOOKUP($EJ$3,preferredAttributePTDMap,MATCH($A14,attributeMapFeedProductType,0)+1,FALSE),0)&gt;0,0,1),IF(IFERROR(MATCH($A14,attributeMapFeedProductType,0),0)&gt;0,1,0))</formula>
    </cfRule>
  </conditionalFormatting>
  <conditionalFormatting sqref="EK14:EK17">
    <cfRule type="expression" dxfId="389" priority="806">
      <formula>IF(LEN(EK14)&gt;0,1,0)</formula>
    </cfRule>
    <cfRule type="expression" dxfId="388" priority="807">
      <formula>IF(VLOOKUP($EK$3,requiredAttributePTDMap,MATCH($A14,attributeMapFeedProductType,0)+1,FALSE)&gt;0,1,0)</formula>
    </cfRule>
    <cfRule type="expression" dxfId="387" priority="808">
      <formula>IF(VLOOKUP($EK$3,optionalAttributePTDMap,MATCH($A14,attributeMapFeedProductType,0)+1,FALSE)&gt;0,1,0)</formula>
    </cfRule>
    <cfRule type="expression" dxfId="386" priority="809">
      <formula>IF(VLOOKUP($EK$3,preferredAttributePTDMap,MATCH($A14,attributeMapFeedProductType,0)+1,FALSE)&gt;0,1,0)</formula>
    </cfRule>
    <cfRule type="expression" dxfId="385" priority="810">
      <formula>AND(IF(IFERROR(VLOOKUP($EK$3,requiredAttributePTDMap,MATCH($A14,attributeMapFeedProductType,0)+1,FALSE),0)&gt;0,0,1),IF(IFERROR(VLOOKUP($EK$3,optionalAttributePTDMap,MATCH($A14,attributeMapFeedProductType,0)+1,FALSE),0)&gt;0,0,1),IF(IFERROR(VLOOKUP($EK$3,preferredAttributePTDMap,MATCH($A14,attributeMapFeedProductType,0)+1,FALSE),0)&gt;0,0,1),IF(IFERROR(MATCH($A14,attributeMapFeedProductType,0),0)&gt;0,1,0))</formula>
    </cfRule>
  </conditionalFormatting>
  <conditionalFormatting sqref="EL14:EL17">
    <cfRule type="expression" dxfId="384" priority="811">
      <formula>IF(LEN(EL14)&gt;0,1,0)</formula>
    </cfRule>
    <cfRule type="expression" dxfId="383" priority="812">
      <formula>IF(VLOOKUP($EL$3,requiredAttributePTDMap,MATCH($A14,attributeMapFeedProductType,0)+1,FALSE)&gt;0,1,0)</formula>
    </cfRule>
    <cfRule type="expression" dxfId="382" priority="813">
      <formula>IF(VLOOKUP($EL$3,optionalAttributePTDMap,MATCH($A14,attributeMapFeedProductType,0)+1,FALSE)&gt;0,1,0)</formula>
    </cfRule>
    <cfRule type="expression" dxfId="381" priority="814">
      <formula>IF(VLOOKUP($EL$3,preferredAttributePTDMap,MATCH($A14,attributeMapFeedProductType,0)+1,FALSE)&gt;0,1,0)</formula>
    </cfRule>
    <cfRule type="expression" dxfId="380" priority="815">
      <formula>AND(IF(IFERROR(VLOOKUP($EL$3,requiredAttributePTDMap,MATCH($A14,attributeMapFeedProductType,0)+1,FALSE),0)&gt;0,0,1),IF(IFERROR(VLOOKUP($EL$3,optionalAttributePTDMap,MATCH($A14,attributeMapFeedProductType,0)+1,FALSE),0)&gt;0,0,1),IF(IFERROR(VLOOKUP($EL$3,preferredAttributePTDMap,MATCH($A14,attributeMapFeedProductType,0)+1,FALSE),0)&gt;0,0,1),IF(IFERROR(MATCH($A14,attributeMapFeedProductType,0),0)&gt;0,1,0))</formula>
    </cfRule>
  </conditionalFormatting>
  <conditionalFormatting sqref="EM14:EM17">
    <cfRule type="expression" dxfId="379" priority="816">
      <formula>IF(LEN(EM14)&gt;0,1,0)</formula>
    </cfRule>
    <cfRule type="expression" dxfId="378" priority="817">
      <formula>IF(VLOOKUP($EM$3,requiredAttributePTDMap,MATCH($A14,attributeMapFeedProductType,0)+1,FALSE)&gt;0,1,0)</formula>
    </cfRule>
    <cfRule type="expression" dxfId="377" priority="818">
      <formula>IF(VLOOKUP($EM$3,optionalAttributePTDMap,MATCH($A14,attributeMapFeedProductType,0)+1,FALSE)&gt;0,1,0)</formula>
    </cfRule>
    <cfRule type="expression" dxfId="376" priority="819">
      <formula>IF(VLOOKUP($EM$3,preferredAttributePTDMap,MATCH($A14,attributeMapFeedProductType,0)+1,FALSE)&gt;0,1,0)</formula>
    </cfRule>
    <cfRule type="expression" dxfId="375" priority="820">
      <formula>AND(IF(IFERROR(VLOOKUP($EM$3,requiredAttributePTDMap,MATCH($A14,attributeMapFeedProductType,0)+1,FALSE),0)&gt;0,0,1),IF(IFERROR(VLOOKUP($EM$3,optionalAttributePTDMap,MATCH($A14,attributeMapFeedProductType,0)+1,FALSE),0)&gt;0,0,1),IF(IFERROR(VLOOKUP($EM$3,preferredAttributePTDMap,MATCH($A14,attributeMapFeedProductType,0)+1,FALSE),0)&gt;0,0,1),IF(IFERROR(MATCH($A14,attributeMapFeedProductType,0),0)&gt;0,1,0))</formula>
    </cfRule>
  </conditionalFormatting>
  <conditionalFormatting sqref="EN14:EN17">
    <cfRule type="expression" dxfId="374" priority="821">
      <formula>IF(LEN(EN14)&gt;0,1,0)</formula>
    </cfRule>
    <cfRule type="expression" dxfId="373" priority="822">
      <formula>IF(VLOOKUP($EN$3,requiredAttributePTDMap,MATCH($A14,attributeMapFeedProductType,0)+1,FALSE)&gt;0,1,0)</formula>
    </cfRule>
    <cfRule type="expression" dxfId="372" priority="823">
      <formula>IF(VLOOKUP($EN$3,optionalAttributePTDMap,MATCH($A14,attributeMapFeedProductType,0)+1,FALSE)&gt;0,1,0)</formula>
    </cfRule>
    <cfRule type="expression" dxfId="371" priority="824">
      <formula>IF(VLOOKUP($EN$3,preferredAttributePTDMap,MATCH($A14,attributeMapFeedProductType,0)+1,FALSE)&gt;0,1,0)</formula>
    </cfRule>
    <cfRule type="expression" dxfId="370" priority="825">
      <formula>AND(IF(IFERROR(VLOOKUP($EN$3,requiredAttributePTDMap,MATCH($A14,attributeMapFeedProductType,0)+1,FALSE),0)&gt;0,0,1),IF(IFERROR(VLOOKUP($EN$3,optionalAttributePTDMap,MATCH($A14,attributeMapFeedProductType,0)+1,FALSE),0)&gt;0,0,1),IF(IFERROR(VLOOKUP($EN$3,preferredAttributePTDMap,MATCH($A14,attributeMapFeedProductType,0)+1,FALSE),0)&gt;0,0,1),IF(IFERROR(MATCH($A14,attributeMapFeedProductType,0),0)&gt;0,1,0))</formula>
    </cfRule>
  </conditionalFormatting>
  <conditionalFormatting sqref="EO14:EO17">
    <cfRule type="expression" dxfId="369" priority="826">
      <formula>IF(LEN(EO14)&gt;0,1,0)</formula>
    </cfRule>
    <cfRule type="expression" dxfId="368" priority="827">
      <formula>IF(VLOOKUP($EO$3,requiredAttributePTDMap,MATCH($A14,attributeMapFeedProductType,0)+1,FALSE)&gt;0,1,0)</formula>
    </cfRule>
    <cfRule type="expression" dxfId="367" priority="828">
      <formula>IF(VLOOKUP($EO$3,optionalAttributePTDMap,MATCH($A14,attributeMapFeedProductType,0)+1,FALSE)&gt;0,1,0)</formula>
    </cfRule>
    <cfRule type="expression" dxfId="366" priority="829">
      <formula>IF(VLOOKUP($EO$3,preferredAttributePTDMap,MATCH($A14,attributeMapFeedProductType,0)+1,FALSE)&gt;0,1,0)</formula>
    </cfRule>
    <cfRule type="expression" dxfId="365" priority="830">
      <formula>AND(IF(IFERROR(VLOOKUP($EO$3,requiredAttributePTDMap,MATCH($A14,attributeMapFeedProductType,0)+1,FALSE),0)&gt;0,0,1),IF(IFERROR(VLOOKUP($EO$3,optionalAttributePTDMap,MATCH($A14,attributeMapFeedProductType,0)+1,FALSE),0)&gt;0,0,1),IF(IFERROR(VLOOKUP($EO$3,preferredAttributePTDMap,MATCH($A14,attributeMapFeedProductType,0)+1,FALSE),0)&gt;0,0,1),IF(IFERROR(MATCH($A14,attributeMapFeedProductType,0),0)&gt;0,1,0))</formula>
    </cfRule>
  </conditionalFormatting>
  <conditionalFormatting sqref="EP14:EP17">
    <cfRule type="expression" dxfId="364" priority="831">
      <formula>IF(LEN(EP14)&gt;0,1,0)</formula>
    </cfRule>
    <cfRule type="expression" dxfId="363" priority="832">
      <formula>IF(VLOOKUP($EP$3,requiredAttributePTDMap,MATCH($A14,attributeMapFeedProductType,0)+1,FALSE)&gt;0,1,0)</formula>
    </cfRule>
    <cfRule type="expression" dxfId="362" priority="833">
      <formula>IF(VLOOKUP($EP$3,optionalAttributePTDMap,MATCH($A14,attributeMapFeedProductType,0)+1,FALSE)&gt;0,1,0)</formula>
    </cfRule>
    <cfRule type="expression" dxfId="361" priority="834">
      <formula>IF(VLOOKUP($EP$3,preferredAttributePTDMap,MATCH($A14,attributeMapFeedProductType,0)+1,FALSE)&gt;0,1,0)</formula>
    </cfRule>
    <cfRule type="expression" dxfId="360" priority="835">
      <formula>AND(IF(IFERROR(VLOOKUP($EP$3,requiredAttributePTDMap,MATCH($A14,attributeMapFeedProductType,0)+1,FALSE),0)&gt;0,0,1),IF(IFERROR(VLOOKUP($EP$3,optionalAttributePTDMap,MATCH($A14,attributeMapFeedProductType,0)+1,FALSE),0)&gt;0,0,1),IF(IFERROR(VLOOKUP($EP$3,preferredAttributePTDMap,MATCH($A14,attributeMapFeedProductType,0)+1,FALSE),0)&gt;0,0,1),IF(IFERROR(MATCH($A14,attributeMapFeedProductType,0),0)&gt;0,1,0))</formula>
    </cfRule>
  </conditionalFormatting>
  <conditionalFormatting sqref="EQ14:EQ17">
    <cfRule type="expression" dxfId="359" priority="836">
      <formula>IF(LEN(EQ14)&gt;0,1,0)</formula>
    </cfRule>
    <cfRule type="expression" dxfId="358" priority="837">
      <formula>IF(VLOOKUP($EQ$3,requiredAttributePTDMap,MATCH($A14,attributeMapFeedProductType,0)+1,FALSE)&gt;0,1,0)</formula>
    </cfRule>
    <cfRule type="expression" dxfId="357" priority="838">
      <formula>IF(VLOOKUP($EQ$3,optionalAttributePTDMap,MATCH($A14,attributeMapFeedProductType,0)+1,FALSE)&gt;0,1,0)</formula>
    </cfRule>
    <cfRule type="expression" dxfId="356" priority="839">
      <formula>IF(VLOOKUP($EQ$3,preferredAttributePTDMap,MATCH($A14,attributeMapFeedProductType,0)+1,FALSE)&gt;0,1,0)</formula>
    </cfRule>
    <cfRule type="expression" dxfId="355" priority="840">
      <formula>AND(IF(IFERROR(VLOOKUP($EQ$3,requiredAttributePTDMap,MATCH($A14,attributeMapFeedProductType,0)+1,FALSE),0)&gt;0,0,1),IF(IFERROR(VLOOKUP($EQ$3,optionalAttributePTDMap,MATCH($A14,attributeMapFeedProductType,0)+1,FALSE),0)&gt;0,0,1),IF(IFERROR(VLOOKUP($EQ$3,preferredAttributePTDMap,MATCH($A14,attributeMapFeedProductType,0)+1,FALSE),0)&gt;0,0,1),IF(IFERROR(MATCH($A14,attributeMapFeedProductType,0),0)&gt;0,1,0))</formula>
    </cfRule>
  </conditionalFormatting>
  <conditionalFormatting sqref="ER14:ER17">
    <cfRule type="expression" dxfId="354" priority="841">
      <formula>IF(LEN(ER14)&gt;0,1,0)</formula>
    </cfRule>
    <cfRule type="expression" dxfId="353" priority="842">
      <formula>IF(VLOOKUP($ER$3,requiredAttributePTDMap,MATCH($A14,attributeMapFeedProductType,0)+1,FALSE)&gt;0,1,0)</formula>
    </cfRule>
    <cfRule type="expression" dxfId="352" priority="843">
      <formula>IF(VLOOKUP($ER$3,optionalAttributePTDMap,MATCH($A14,attributeMapFeedProductType,0)+1,FALSE)&gt;0,1,0)</formula>
    </cfRule>
    <cfRule type="expression" dxfId="351" priority="844">
      <formula>IF(VLOOKUP($ER$3,preferredAttributePTDMap,MATCH($A14,attributeMapFeedProductType,0)+1,FALSE)&gt;0,1,0)</formula>
    </cfRule>
    <cfRule type="expression" dxfId="350" priority="845">
      <formula>AND(IF(IFERROR(VLOOKUP($ER$3,requiredAttributePTDMap,MATCH($A14,attributeMapFeedProductType,0)+1,FALSE),0)&gt;0,0,1),IF(IFERROR(VLOOKUP($ER$3,optionalAttributePTDMap,MATCH($A14,attributeMapFeedProductType,0)+1,FALSE),0)&gt;0,0,1),IF(IFERROR(VLOOKUP($ER$3,preferredAttributePTDMap,MATCH($A14,attributeMapFeedProductType,0)+1,FALSE),0)&gt;0,0,1),IF(IFERROR(MATCH($A14,attributeMapFeedProductType,0),0)&gt;0,1,0))</formula>
    </cfRule>
  </conditionalFormatting>
  <conditionalFormatting sqref="ES14:ES17">
    <cfRule type="expression" dxfId="349" priority="846">
      <formula>IF(LEN(ES14)&gt;0,1,0)</formula>
    </cfRule>
    <cfRule type="expression" dxfId="348" priority="847">
      <formula>IF(VLOOKUP($ES$3,requiredAttributePTDMap,MATCH($A14,attributeMapFeedProductType,0)+1,FALSE)&gt;0,1,0)</formula>
    </cfRule>
    <cfRule type="expression" dxfId="347" priority="848">
      <formula>IF(VLOOKUP($ES$3,optionalAttributePTDMap,MATCH($A14,attributeMapFeedProductType,0)+1,FALSE)&gt;0,1,0)</formula>
    </cfRule>
    <cfRule type="expression" dxfId="346" priority="849">
      <formula>IF(VLOOKUP($ES$3,preferredAttributePTDMap,MATCH($A14,attributeMapFeedProductType,0)+1,FALSE)&gt;0,1,0)</formula>
    </cfRule>
    <cfRule type="expression" dxfId="345" priority="850">
      <formula>AND(IF(IFERROR(VLOOKUP($ES$3,requiredAttributePTDMap,MATCH($A14,attributeMapFeedProductType,0)+1,FALSE),0)&gt;0,0,1),IF(IFERROR(VLOOKUP($ES$3,optionalAttributePTDMap,MATCH($A14,attributeMapFeedProductType,0)+1,FALSE),0)&gt;0,0,1),IF(IFERROR(VLOOKUP($ES$3,preferredAttributePTDMap,MATCH($A14,attributeMapFeedProductType,0)+1,FALSE),0)&gt;0,0,1),IF(IFERROR(MATCH($A14,attributeMapFeedProductType,0),0)&gt;0,1,0))</formula>
    </cfRule>
  </conditionalFormatting>
  <conditionalFormatting sqref="ET14:ET17">
    <cfRule type="expression" dxfId="344" priority="851">
      <formula>IF(LEN(ET14)&gt;0,1,0)</formula>
    </cfRule>
    <cfRule type="expression" dxfId="343" priority="852">
      <formula>IF(VLOOKUP($ET$3,requiredAttributePTDMap,MATCH($A14,attributeMapFeedProductType,0)+1,FALSE)&gt;0,1,0)</formula>
    </cfRule>
    <cfRule type="expression" dxfId="342" priority="853">
      <formula>IF(VLOOKUP($ET$3,optionalAttributePTDMap,MATCH($A14,attributeMapFeedProductType,0)+1,FALSE)&gt;0,1,0)</formula>
    </cfRule>
    <cfRule type="expression" dxfId="341" priority="854">
      <formula>IF(VLOOKUP($ET$3,preferredAttributePTDMap,MATCH($A14,attributeMapFeedProductType,0)+1,FALSE)&gt;0,1,0)</formula>
    </cfRule>
    <cfRule type="expression" dxfId="340" priority="855">
      <formula>AND(IF(IFERROR(VLOOKUP($ET$3,requiredAttributePTDMap,MATCH($A14,attributeMapFeedProductType,0)+1,FALSE),0)&gt;0,0,1),IF(IFERROR(VLOOKUP($ET$3,optionalAttributePTDMap,MATCH($A14,attributeMapFeedProductType,0)+1,FALSE),0)&gt;0,0,1),IF(IFERROR(VLOOKUP($ET$3,preferredAttributePTDMap,MATCH($A14,attributeMapFeedProductType,0)+1,FALSE),0)&gt;0,0,1),IF(IFERROR(MATCH($A14,attributeMapFeedProductType,0),0)&gt;0,1,0))</formula>
    </cfRule>
  </conditionalFormatting>
  <conditionalFormatting sqref="EU14:EU17">
    <cfRule type="expression" dxfId="339" priority="856">
      <formula>IF(LEN(EU14)&gt;0,1,0)</formula>
    </cfRule>
    <cfRule type="expression" dxfId="338" priority="857">
      <formula>IF(VLOOKUP($EU$3,requiredAttributePTDMap,MATCH($A14,attributeMapFeedProductType,0)+1,FALSE)&gt;0,1,0)</formula>
    </cfRule>
    <cfRule type="expression" dxfId="337" priority="858">
      <formula>IF(VLOOKUP($EU$3,optionalAttributePTDMap,MATCH($A14,attributeMapFeedProductType,0)+1,FALSE)&gt;0,1,0)</formula>
    </cfRule>
    <cfRule type="expression" dxfId="336" priority="859">
      <formula>IF(VLOOKUP($EU$3,preferredAttributePTDMap,MATCH($A14,attributeMapFeedProductType,0)+1,FALSE)&gt;0,1,0)</formula>
    </cfRule>
    <cfRule type="expression" dxfId="335" priority="860">
      <formula>AND(IF(IFERROR(VLOOKUP($EU$3,requiredAttributePTDMap,MATCH($A14,attributeMapFeedProductType,0)+1,FALSE),0)&gt;0,0,1),IF(IFERROR(VLOOKUP($EU$3,optionalAttributePTDMap,MATCH($A14,attributeMapFeedProductType,0)+1,FALSE),0)&gt;0,0,1),IF(IFERROR(VLOOKUP($EU$3,preferredAttributePTDMap,MATCH($A14,attributeMapFeedProductType,0)+1,FALSE),0)&gt;0,0,1),IF(IFERROR(MATCH($A14,attributeMapFeedProductType,0),0)&gt;0,1,0))</formula>
    </cfRule>
  </conditionalFormatting>
  <conditionalFormatting sqref="EV14:EV17">
    <cfRule type="expression" dxfId="334" priority="861">
      <formula>IF(LEN(EV14)&gt;0,1,0)</formula>
    </cfRule>
    <cfRule type="expression" dxfId="333" priority="862">
      <formula>IF(VLOOKUP($EV$3,requiredAttributePTDMap,MATCH($A14,attributeMapFeedProductType,0)+1,FALSE)&gt;0,1,0)</formula>
    </cfRule>
    <cfRule type="expression" dxfId="332" priority="863">
      <formula>IF(VLOOKUP($EV$3,optionalAttributePTDMap,MATCH($A14,attributeMapFeedProductType,0)+1,FALSE)&gt;0,1,0)</formula>
    </cfRule>
    <cfRule type="expression" dxfId="331" priority="864">
      <formula>IF(VLOOKUP($EV$3,preferredAttributePTDMap,MATCH($A14,attributeMapFeedProductType,0)+1,FALSE)&gt;0,1,0)</formula>
    </cfRule>
    <cfRule type="expression" dxfId="330" priority="865">
      <formula>AND(IF(IFERROR(VLOOKUP($EV$3,requiredAttributePTDMap,MATCH($A14,attributeMapFeedProductType,0)+1,FALSE),0)&gt;0,0,1),IF(IFERROR(VLOOKUP($EV$3,optionalAttributePTDMap,MATCH($A14,attributeMapFeedProductType,0)+1,FALSE),0)&gt;0,0,1),IF(IFERROR(VLOOKUP($EV$3,preferredAttributePTDMap,MATCH($A14,attributeMapFeedProductType,0)+1,FALSE),0)&gt;0,0,1),IF(IFERROR(MATCH($A14,attributeMapFeedProductType,0),0)&gt;0,1,0))</formula>
    </cfRule>
  </conditionalFormatting>
  <conditionalFormatting sqref="EW14:EW17">
    <cfRule type="expression" dxfId="329" priority="866">
      <formula>IF(LEN(EW14)&gt;0,1,0)</formula>
    </cfRule>
    <cfRule type="expression" dxfId="328" priority="867">
      <formula>IF(VLOOKUP($EW$3,requiredAttributePTDMap,MATCH($A14,attributeMapFeedProductType,0)+1,FALSE)&gt;0,1,0)</formula>
    </cfRule>
    <cfRule type="expression" dxfId="327" priority="868">
      <formula>IF(VLOOKUP($EW$3,optionalAttributePTDMap,MATCH($A14,attributeMapFeedProductType,0)+1,FALSE)&gt;0,1,0)</formula>
    </cfRule>
    <cfRule type="expression" dxfId="326" priority="869">
      <formula>IF(VLOOKUP($EW$3,preferredAttributePTDMap,MATCH($A14,attributeMapFeedProductType,0)+1,FALSE)&gt;0,1,0)</formula>
    </cfRule>
    <cfRule type="expression" dxfId="325" priority="870">
      <formula>AND(IF(IFERROR(VLOOKUP($EW$3,requiredAttributePTDMap,MATCH($A14,attributeMapFeedProductType,0)+1,FALSE),0)&gt;0,0,1),IF(IFERROR(VLOOKUP($EW$3,optionalAttributePTDMap,MATCH($A14,attributeMapFeedProductType,0)+1,FALSE),0)&gt;0,0,1),IF(IFERROR(VLOOKUP($EW$3,preferredAttributePTDMap,MATCH($A14,attributeMapFeedProductType,0)+1,FALSE),0)&gt;0,0,1),IF(IFERROR(MATCH($A14,attributeMapFeedProductType,0),0)&gt;0,1,0))</formula>
    </cfRule>
  </conditionalFormatting>
  <conditionalFormatting sqref="EX14:EX17">
    <cfRule type="expression" dxfId="324" priority="871">
      <formula>IF(LEN(EX14)&gt;0,1,0)</formula>
    </cfRule>
    <cfRule type="expression" dxfId="323" priority="872">
      <formula>IF(VLOOKUP($EX$3,requiredAttributePTDMap,MATCH($A14,attributeMapFeedProductType,0)+1,FALSE)&gt;0,1,0)</formula>
    </cfRule>
    <cfRule type="expression" dxfId="322" priority="873">
      <formula>IF(VLOOKUP($EX$3,optionalAttributePTDMap,MATCH($A14,attributeMapFeedProductType,0)+1,FALSE)&gt;0,1,0)</formula>
    </cfRule>
    <cfRule type="expression" dxfId="321" priority="874">
      <formula>IF(VLOOKUP($EX$3,preferredAttributePTDMap,MATCH($A14,attributeMapFeedProductType,0)+1,FALSE)&gt;0,1,0)</formula>
    </cfRule>
    <cfRule type="expression" dxfId="320" priority="875">
      <formula>AND(IF(IFERROR(VLOOKUP($EX$3,requiredAttributePTDMap,MATCH($A14,attributeMapFeedProductType,0)+1,FALSE),0)&gt;0,0,1),IF(IFERROR(VLOOKUP($EX$3,optionalAttributePTDMap,MATCH($A14,attributeMapFeedProductType,0)+1,FALSE),0)&gt;0,0,1),IF(IFERROR(VLOOKUP($EX$3,preferredAttributePTDMap,MATCH($A14,attributeMapFeedProductType,0)+1,FALSE),0)&gt;0,0,1),IF(IFERROR(MATCH($A14,attributeMapFeedProductType,0),0)&gt;0,1,0))</formula>
    </cfRule>
  </conditionalFormatting>
  <conditionalFormatting sqref="EY14:EY17">
    <cfRule type="expression" dxfId="319" priority="876">
      <formula>IF(LEN(EY14)&gt;0,1,0)</formula>
    </cfRule>
    <cfRule type="expression" dxfId="318" priority="877">
      <formula>IF(VLOOKUP($EY$3,requiredAttributePTDMap,MATCH($A14,attributeMapFeedProductType,0)+1,FALSE)&gt;0,1,0)</formula>
    </cfRule>
    <cfRule type="expression" dxfId="317" priority="878">
      <formula>IF(VLOOKUP($EY$3,optionalAttributePTDMap,MATCH($A14,attributeMapFeedProductType,0)+1,FALSE)&gt;0,1,0)</formula>
    </cfRule>
    <cfRule type="expression" dxfId="316" priority="879">
      <formula>IF(VLOOKUP($EY$3,preferredAttributePTDMap,MATCH($A14,attributeMapFeedProductType,0)+1,FALSE)&gt;0,1,0)</formula>
    </cfRule>
    <cfRule type="expression" dxfId="315" priority="880">
      <formula>AND(IF(IFERROR(VLOOKUP($EY$3,requiredAttributePTDMap,MATCH($A14,attributeMapFeedProductType,0)+1,FALSE),0)&gt;0,0,1),IF(IFERROR(VLOOKUP($EY$3,optionalAttributePTDMap,MATCH($A14,attributeMapFeedProductType,0)+1,FALSE),0)&gt;0,0,1),IF(IFERROR(VLOOKUP($EY$3,preferredAttributePTDMap,MATCH($A14,attributeMapFeedProductType,0)+1,FALSE),0)&gt;0,0,1),IF(IFERROR(MATCH($A14,attributeMapFeedProductType,0),0)&gt;0,1,0))</formula>
    </cfRule>
  </conditionalFormatting>
  <conditionalFormatting sqref="EZ14:EZ17">
    <cfRule type="expression" dxfId="314" priority="881">
      <formula>IF(LEN(EZ14)&gt;0,1,0)</formula>
    </cfRule>
    <cfRule type="expression" dxfId="313" priority="882">
      <formula>IF(VLOOKUP($EZ$3,requiredAttributePTDMap,MATCH($A14,attributeMapFeedProductType,0)+1,FALSE)&gt;0,1,0)</formula>
    </cfRule>
    <cfRule type="expression" dxfId="312" priority="883">
      <formula>IF(VLOOKUP($EZ$3,optionalAttributePTDMap,MATCH($A14,attributeMapFeedProductType,0)+1,FALSE)&gt;0,1,0)</formula>
    </cfRule>
    <cfRule type="expression" dxfId="311" priority="884">
      <formula>IF(VLOOKUP($EZ$3,preferredAttributePTDMap,MATCH($A14,attributeMapFeedProductType,0)+1,FALSE)&gt;0,1,0)</formula>
    </cfRule>
    <cfRule type="expression" dxfId="310" priority="885">
      <formula>AND(IF(IFERROR(VLOOKUP($EZ$3,requiredAttributePTDMap,MATCH($A14,attributeMapFeedProductType,0)+1,FALSE),0)&gt;0,0,1),IF(IFERROR(VLOOKUP($EZ$3,optionalAttributePTDMap,MATCH($A14,attributeMapFeedProductType,0)+1,FALSE),0)&gt;0,0,1),IF(IFERROR(VLOOKUP($EZ$3,preferredAttributePTDMap,MATCH($A14,attributeMapFeedProductType,0)+1,FALSE),0)&gt;0,0,1),IF(IFERROR(MATCH($A14,attributeMapFeedProductType,0),0)&gt;0,1,0))</formula>
    </cfRule>
  </conditionalFormatting>
  <conditionalFormatting sqref="FA14:FA17">
    <cfRule type="expression" dxfId="309" priority="886">
      <formula>IF(LEN(FA14)&gt;0,1,0)</formula>
    </cfRule>
    <cfRule type="expression" dxfId="308" priority="887">
      <formula>IF(VLOOKUP($FA$3,requiredAttributePTDMap,MATCH($A14,attributeMapFeedProductType,0)+1,FALSE)&gt;0,1,0)</formula>
    </cfRule>
    <cfRule type="expression" dxfId="307" priority="888">
      <formula>IF(VLOOKUP($FA$3,optionalAttributePTDMap,MATCH($A14,attributeMapFeedProductType,0)+1,FALSE)&gt;0,1,0)</formula>
    </cfRule>
    <cfRule type="expression" dxfId="306" priority="889">
      <formula>IF(VLOOKUP($FA$3,preferredAttributePTDMap,MATCH($A14,attributeMapFeedProductType,0)+1,FALSE)&gt;0,1,0)</formula>
    </cfRule>
    <cfRule type="expression" dxfId="305" priority="890">
      <formula>AND(IF(IFERROR(VLOOKUP($FA$3,requiredAttributePTDMap,MATCH($A14,attributeMapFeedProductType,0)+1,FALSE),0)&gt;0,0,1),IF(IFERROR(VLOOKUP($FA$3,optionalAttributePTDMap,MATCH($A14,attributeMapFeedProductType,0)+1,FALSE),0)&gt;0,0,1),IF(IFERROR(VLOOKUP($FA$3,preferredAttributePTDMap,MATCH($A14,attributeMapFeedProductType,0)+1,FALSE),0)&gt;0,0,1),IF(IFERROR(MATCH($A14,attributeMapFeedProductType,0),0)&gt;0,1,0))</formula>
    </cfRule>
  </conditionalFormatting>
  <conditionalFormatting sqref="FB14:FB17">
    <cfRule type="expression" dxfId="304" priority="891">
      <formula>IF(LEN(FB14)&gt;0,1,0)</formula>
    </cfRule>
    <cfRule type="expression" dxfId="303" priority="892">
      <formula>IF(VLOOKUP($FB$3,requiredAttributePTDMap,MATCH($A14,attributeMapFeedProductType,0)+1,FALSE)&gt;0,1,0)</formula>
    </cfRule>
    <cfRule type="expression" dxfId="302" priority="893">
      <formula>IF(VLOOKUP($FB$3,optionalAttributePTDMap,MATCH($A14,attributeMapFeedProductType,0)+1,FALSE)&gt;0,1,0)</formula>
    </cfRule>
    <cfRule type="expression" dxfId="301" priority="894">
      <formula>IF(VLOOKUP($FB$3,preferredAttributePTDMap,MATCH($A14,attributeMapFeedProductType,0)+1,FALSE)&gt;0,1,0)</formula>
    </cfRule>
    <cfRule type="expression" dxfId="300" priority="895">
      <formula>AND(IF(IFERROR(VLOOKUP($FB$3,requiredAttributePTDMap,MATCH($A14,attributeMapFeedProductType,0)+1,FALSE),0)&gt;0,0,1),IF(IFERROR(VLOOKUP($FB$3,optionalAttributePTDMap,MATCH($A14,attributeMapFeedProductType,0)+1,FALSE),0)&gt;0,0,1),IF(IFERROR(VLOOKUP($FB$3,preferredAttributePTDMap,MATCH($A14,attributeMapFeedProductType,0)+1,FALSE),0)&gt;0,0,1),IF(IFERROR(MATCH($A14,attributeMapFeedProductType,0),0)&gt;0,1,0))</formula>
    </cfRule>
  </conditionalFormatting>
  <conditionalFormatting sqref="FC14:FC17">
    <cfRule type="expression" dxfId="299" priority="896">
      <formula>IF(LEN(FC14)&gt;0,1,0)</formula>
    </cfRule>
    <cfRule type="expression" dxfId="298" priority="897">
      <formula>IF(VLOOKUP($FC$3,requiredAttributePTDMap,MATCH($A14,attributeMapFeedProductType,0)+1,FALSE)&gt;0,1,0)</formula>
    </cfRule>
    <cfRule type="expression" dxfId="297" priority="898">
      <formula>IF(VLOOKUP($FC$3,optionalAttributePTDMap,MATCH($A14,attributeMapFeedProductType,0)+1,FALSE)&gt;0,1,0)</formula>
    </cfRule>
    <cfRule type="expression" dxfId="296" priority="899">
      <formula>IF(VLOOKUP($FC$3,preferredAttributePTDMap,MATCH($A14,attributeMapFeedProductType,0)+1,FALSE)&gt;0,1,0)</formula>
    </cfRule>
    <cfRule type="expression" dxfId="295" priority="900">
      <formula>AND(IF(IFERROR(VLOOKUP($FC$3,requiredAttributePTDMap,MATCH($A14,attributeMapFeedProductType,0)+1,FALSE),0)&gt;0,0,1),IF(IFERROR(VLOOKUP($FC$3,optionalAttributePTDMap,MATCH($A14,attributeMapFeedProductType,0)+1,FALSE),0)&gt;0,0,1),IF(IFERROR(VLOOKUP($FC$3,preferredAttributePTDMap,MATCH($A14,attributeMapFeedProductType,0)+1,FALSE),0)&gt;0,0,1),IF(IFERROR(MATCH($A14,attributeMapFeedProductType,0),0)&gt;0,1,0))</formula>
    </cfRule>
  </conditionalFormatting>
  <conditionalFormatting sqref="FD14:FD17">
    <cfRule type="expression" dxfId="294" priority="901">
      <formula>IF(LEN(FD14)&gt;0,1,0)</formula>
    </cfRule>
    <cfRule type="expression" dxfId="293" priority="902">
      <formula>IF(VLOOKUP($FD$3,requiredAttributePTDMap,MATCH($A14,attributeMapFeedProductType,0)+1,FALSE)&gt;0,1,0)</formula>
    </cfRule>
    <cfRule type="expression" dxfId="292" priority="903">
      <formula>IF(VLOOKUP($FD$3,optionalAttributePTDMap,MATCH($A14,attributeMapFeedProductType,0)+1,FALSE)&gt;0,1,0)</formula>
    </cfRule>
    <cfRule type="expression" dxfId="291" priority="904">
      <formula>IF(VLOOKUP($FD$3,preferredAttributePTDMap,MATCH($A14,attributeMapFeedProductType,0)+1,FALSE)&gt;0,1,0)</formula>
    </cfRule>
    <cfRule type="expression" dxfId="290" priority="905">
      <formula>AND(IF(IFERROR(VLOOKUP($FD$3,requiredAttributePTDMap,MATCH($A14,attributeMapFeedProductType,0)+1,FALSE),0)&gt;0,0,1),IF(IFERROR(VLOOKUP($FD$3,optionalAttributePTDMap,MATCH($A14,attributeMapFeedProductType,0)+1,FALSE),0)&gt;0,0,1),IF(IFERROR(VLOOKUP($FD$3,preferredAttributePTDMap,MATCH($A14,attributeMapFeedProductType,0)+1,FALSE),0)&gt;0,0,1),IF(IFERROR(MATCH($A14,attributeMapFeedProductType,0),0)&gt;0,1,0))</formula>
    </cfRule>
  </conditionalFormatting>
  <conditionalFormatting sqref="FE14:FE17">
    <cfRule type="expression" dxfId="289" priority="906">
      <formula>IF(LEN(FE14)&gt;0,1,0)</formula>
    </cfRule>
    <cfRule type="expression" dxfId="288" priority="907">
      <formula>IF(VLOOKUP($FE$3,requiredAttributePTDMap,MATCH($A14,attributeMapFeedProductType,0)+1,FALSE)&gt;0,1,0)</formula>
    </cfRule>
    <cfRule type="expression" dxfId="287" priority="908">
      <formula>IF(VLOOKUP($FE$3,optionalAttributePTDMap,MATCH($A14,attributeMapFeedProductType,0)+1,FALSE)&gt;0,1,0)</formula>
    </cfRule>
    <cfRule type="expression" dxfId="286" priority="909">
      <formula>IF(VLOOKUP($FE$3,preferredAttributePTDMap,MATCH($A14,attributeMapFeedProductType,0)+1,FALSE)&gt;0,1,0)</formula>
    </cfRule>
    <cfRule type="expression" dxfId="285" priority="910">
      <formula>AND(IF(IFERROR(VLOOKUP($FE$3,requiredAttributePTDMap,MATCH($A14,attributeMapFeedProductType,0)+1,FALSE),0)&gt;0,0,1),IF(IFERROR(VLOOKUP($FE$3,optionalAttributePTDMap,MATCH($A14,attributeMapFeedProductType,0)+1,FALSE),0)&gt;0,0,1),IF(IFERROR(VLOOKUP($FE$3,preferredAttributePTDMap,MATCH($A14,attributeMapFeedProductType,0)+1,FALSE),0)&gt;0,0,1),IF(IFERROR(MATCH($A14,attributeMapFeedProductType,0),0)&gt;0,1,0))</formula>
    </cfRule>
  </conditionalFormatting>
  <conditionalFormatting sqref="FF14:FF17">
    <cfRule type="expression" dxfId="284" priority="911">
      <formula>IF(LEN(FF14)&gt;0,1,0)</formula>
    </cfRule>
    <cfRule type="expression" dxfId="283" priority="912">
      <formula>IF(VLOOKUP($FF$3,requiredAttributePTDMap,MATCH($A14,attributeMapFeedProductType,0)+1,FALSE)&gt;0,1,0)</formula>
    </cfRule>
    <cfRule type="expression" dxfId="282" priority="913">
      <formula>IF(VLOOKUP($FF$3,optionalAttributePTDMap,MATCH($A14,attributeMapFeedProductType,0)+1,FALSE)&gt;0,1,0)</formula>
    </cfRule>
    <cfRule type="expression" dxfId="281" priority="914">
      <formula>IF(VLOOKUP($FF$3,preferredAttributePTDMap,MATCH($A14,attributeMapFeedProductType,0)+1,FALSE)&gt;0,1,0)</formula>
    </cfRule>
    <cfRule type="expression" dxfId="280" priority="915">
      <formula>AND(IF(IFERROR(VLOOKUP($FF$3,requiredAttributePTDMap,MATCH($A14,attributeMapFeedProductType,0)+1,FALSE),0)&gt;0,0,1),IF(IFERROR(VLOOKUP($FF$3,optionalAttributePTDMap,MATCH($A14,attributeMapFeedProductType,0)+1,FALSE),0)&gt;0,0,1),IF(IFERROR(VLOOKUP($FF$3,preferredAttributePTDMap,MATCH($A14,attributeMapFeedProductType,0)+1,FALSE),0)&gt;0,0,1),IF(IFERROR(MATCH($A14,attributeMapFeedProductType,0),0)&gt;0,1,0))</formula>
    </cfRule>
  </conditionalFormatting>
  <conditionalFormatting sqref="FG14:FG17">
    <cfRule type="expression" dxfId="279" priority="916">
      <formula>IF(LEN(FG14)&gt;0,1,0)</formula>
    </cfRule>
    <cfRule type="expression" dxfId="278" priority="917">
      <formula>IF(VLOOKUP($FG$3,requiredAttributePTDMap,MATCH($A14,attributeMapFeedProductType,0)+1,FALSE)&gt;0,1,0)</formula>
    </cfRule>
    <cfRule type="expression" dxfId="277" priority="918">
      <formula>IF(VLOOKUP($FG$3,optionalAttributePTDMap,MATCH($A14,attributeMapFeedProductType,0)+1,FALSE)&gt;0,1,0)</formula>
    </cfRule>
    <cfRule type="expression" dxfId="276" priority="919">
      <formula>IF(VLOOKUP($FG$3,preferredAttributePTDMap,MATCH($A14,attributeMapFeedProductType,0)+1,FALSE)&gt;0,1,0)</formula>
    </cfRule>
    <cfRule type="expression" dxfId="275" priority="920">
      <formula>AND(IF(IFERROR(VLOOKUP($FG$3,requiredAttributePTDMap,MATCH($A14,attributeMapFeedProductType,0)+1,FALSE),0)&gt;0,0,1),IF(IFERROR(VLOOKUP($FG$3,optionalAttributePTDMap,MATCH($A14,attributeMapFeedProductType,0)+1,FALSE),0)&gt;0,0,1),IF(IFERROR(VLOOKUP($FG$3,preferredAttributePTDMap,MATCH($A14,attributeMapFeedProductType,0)+1,FALSE),0)&gt;0,0,1),IF(IFERROR(MATCH($A14,attributeMapFeedProductType,0),0)&gt;0,1,0))</formula>
    </cfRule>
  </conditionalFormatting>
  <conditionalFormatting sqref="FH14:FH17">
    <cfRule type="expression" dxfId="274" priority="921">
      <formula>IF(LEN(FH14)&gt;0,1,0)</formula>
    </cfRule>
    <cfRule type="expression" dxfId="273" priority="922">
      <formula>IF(VLOOKUP($FH$3,requiredAttributePTDMap,MATCH($A14,attributeMapFeedProductType,0)+1,FALSE)&gt;0,1,0)</formula>
    </cfRule>
    <cfRule type="expression" dxfId="272" priority="923">
      <formula>IF(VLOOKUP($FH$3,optionalAttributePTDMap,MATCH($A14,attributeMapFeedProductType,0)+1,FALSE)&gt;0,1,0)</formula>
    </cfRule>
    <cfRule type="expression" dxfId="271" priority="924">
      <formula>IF(VLOOKUP($FH$3,preferredAttributePTDMap,MATCH($A14,attributeMapFeedProductType,0)+1,FALSE)&gt;0,1,0)</formula>
    </cfRule>
    <cfRule type="expression" dxfId="270" priority="925">
      <formula>AND(IF(IFERROR(VLOOKUP($FH$3,requiredAttributePTDMap,MATCH($A14,attributeMapFeedProductType,0)+1,FALSE),0)&gt;0,0,1),IF(IFERROR(VLOOKUP($FH$3,optionalAttributePTDMap,MATCH($A14,attributeMapFeedProductType,0)+1,FALSE),0)&gt;0,0,1),IF(IFERROR(VLOOKUP($FH$3,preferredAttributePTDMap,MATCH($A14,attributeMapFeedProductType,0)+1,FALSE),0)&gt;0,0,1),IF(IFERROR(MATCH($A14,attributeMapFeedProductType,0),0)&gt;0,1,0))</formula>
    </cfRule>
  </conditionalFormatting>
  <conditionalFormatting sqref="FI14:FI17">
    <cfRule type="expression" dxfId="269" priority="926">
      <formula>IF(LEN(FI14)&gt;0,1,0)</formula>
    </cfRule>
    <cfRule type="expression" dxfId="268" priority="927">
      <formula>IF(VLOOKUP($FI$3,requiredAttributePTDMap,MATCH($A14,attributeMapFeedProductType,0)+1,FALSE)&gt;0,1,0)</formula>
    </cfRule>
    <cfRule type="expression" dxfId="267" priority="928">
      <formula>IF(VLOOKUP($FI$3,optionalAttributePTDMap,MATCH($A14,attributeMapFeedProductType,0)+1,FALSE)&gt;0,1,0)</formula>
    </cfRule>
    <cfRule type="expression" dxfId="266" priority="929">
      <formula>IF(VLOOKUP($FI$3,preferredAttributePTDMap,MATCH($A14,attributeMapFeedProductType,0)+1,FALSE)&gt;0,1,0)</formula>
    </cfRule>
    <cfRule type="expression" dxfId="265" priority="930">
      <formula>AND(IF(IFERROR(VLOOKUP($FI$3,requiredAttributePTDMap,MATCH($A14,attributeMapFeedProductType,0)+1,FALSE),0)&gt;0,0,1),IF(IFERROR(VLOOKUP($FI$3,optionalAttributePTDMap,MATCH($A14,attributeMapFeedProductType,0)+1,FALSE),0)&gt;0,0,1),IF(IFERROR(VLOOKUP($FI$3,preferredAttributePTDMap,MATCH($A14,attributeMapFeedProductType,0)+1,FALSE),0)&gt;0,0,1),IF(IFERROR(MATCH($A14,attributeMapFeedProductType,0),0)&gt;0,1,0))</formula>
    </cfRule>
  </conditionalFormatting>
  <conditionalFormatting sqref="FJ14:FJ17">
    <cfRule type="expression" dxfId="264" priority="931">
      <formula>IF(LEN(FJ14)&gt;0,1,0)</formula>
    </cfRule>
    <cfRule type="expression" dxfId="263" priority="932">
      <formula>AND(A14&lt;&gt;"",OR(OR((FK14&lt;&gt;"")),OR((FL14&lt;&gt;""))))</formula>
    </cfRule>
    <cfRule type="expression" dxfId="262" priority="933">
      <formula>IF(VLOOKUP($FJ$3,requiredAttributePTDMap,MATCH($A14,attributeMapFeedProductType,0)+1,FALSE)&gt;0,1,0)</formula>
    </cfRule>
    <cfRule type="expression" dxfId="261" priority="934">
      <formula>IF(VLOOKUP($FJ$3,optionalAttributePTDMap,MATCH($A14,attributeMapFeedProductType,0)+1,FALSE)&gt;0,1,0)</formula>
    </cfRule>
    <cfRule type="expression" dxfId="260" priority="935">
      <formula>IF(VLOOKUP($FJ$3,preferredAttributePTDMap,MATCH($A14,attributeMapFeedProductType,0)+1,FALSE)&gt;0,1,0)</formula>
    </cfRule>
    <cfRule type="expression" dxfId="259" priority="936">
      <formula>AND(IF(IFERROR(VLOOKUP($FJ$3,requiredAttributePTDMap,MATCH($A14,attributeMapFeedProductType,0)+1,FALSE),0)&gt;0,0,1),IF(IFERROR(VLOOKUP($FJ$3,optionalAttributePTDMap,MATCH($A14,attributeMapFeedProductType,0)+1,FALSE),0)&gt;0,0,1),IF(IFERROR(VLOOKUP($FJ$3,preferredAttributePTDMap,MATCH($A14,attributeMapFeedProductType,0)+1,FALSE),0)&gt;0,0,1),IF(IFERROR(MATCH($A14,attributeMapFeedProductType,0),0)&gt;0,1,0))</formula>
    </cfRule>
  </conditionalFormatting>
  <conditionalFormatting sqref="FK14:FK17">
    <cfRule type="expression" dxfId="258" priority="937">
      <formula>IF(LEN(FK14)&gt;0,1,0)</formula>
    </cfRule>
    <cfRule type="expression" dxfId="257" priority="938">
      <formula>AND(A14&lt;&gt;"",OR(OR((FJ14&lt;&gt;"")),OR((FL14&lt;&gt;""))))</formula>
    </cfRule>
    <cfRule type="expression" dxfId="256" priority="939">
      <formula>IF(VLOOKUP($FK$3,requiredAttributePTDMap,MATCH($A14,attributeMapFeedProductType,0)+1,FALSE)&gt;0,1,0)</formula>
    </cfRule>
    <cfRule type="expression" dxfId="255" priority="940">
      <formula>IF(VLOOKUP($FK$3,optionalAttributePTDMap,MATCH($A14,attributeMapFeedProductType,0)+1,FALSE)&gt;0,1,0)</formula>
    </cfRule>
    <cfRule type="expression" dxfId="254" priority="941">
      <formula>IF(VLOOKUP($FK$3,preferredAttributePTDMap,MATCH($A14,attributeMapFeedProductType,0)+1,FALSE)&gt;0,1,0)</formula>
    </cfRule>
    <cfRule type="expression" dxfId="253" priority="942">
      <formula>AND(IF(IFERROR(VLOOKUP($FK$3,requiredAttributePTDMap,MATCH($A14,attributeMapFeedProductType,0)+1,FALSE),0)&gt;0,0,1),IF(IFERROR(VLOOKUP($FK$3,optionalAttributePTDMap,MATCH($A14,attributeMapFeedProductType,0)+1,FALSE),0)&gt;0,0,1),IF(IFERROR(VLOOKUP($FK$3,preferredAttributePTDMap,MATCH($A14,attributeMapFeedProductType,0)+1,FALSE),0)&gt;0,0,1),IF(IFERROR(MATCH($A14,attributeMapFeedProductType,0),0)&gt;0,1,0))</formula>
    </cfRule>
  </conditionalFormatting>
  <conditionalFormatting sqref="FL14:FL17">
    <cfRule type="expression" dxfId="252" priority="943">
      <formula>IF(LEN(FL14)&gt;0,1,0)</formula>
    </cfRule>
    <cfRule type="expression" dxfId="251" priority="944">
      <formula>AND(A14&lt;&gt;"",OR(OR((FJ14&lt;&gt;"")),OR((FK14&lt;&gt;""))))</formula>
    </cfRule>
    <cfRule type="expression" dxfId="250" priority="945">
      <formula>IF(VLOOKUP($FL$3,requiredAttributePTDMap,MATCH($A14,attributeMapFeedProductType,0)+1,FALSE)&gt;0,1,0)</formula>
    </cfRule>
    <cfRule type="expression" dxfId="249" priority="946">
      <formula>IF(VLOOKUP($FL$3,optionalAttributePTDMap,MATCH($A14,attributeMapFeedProductType,0)+1,FALSE)&gt;0,1,0)</formula>
    </cfRule>
    <cfRule type="expression" dxfId="248" priority="947">
      <formula>IF(VLOOKUP($FL$3,preferredAttributePTDMap,MATCH($A14,attributeMapFeedProductType,0)+1,FALSE)&gt;0,1,0)</formula>
    </cfRule>
    <cfRule type="expression" dxfId="247" priority="948">
      <formula>AND(IF(IFERROR(VLOOKUP($FL$3,requiredAttributePTDMap,MATCH($A14,attributeMapFeedProductType,0)+1,FALSE),0)&gt;0,0,1),IF(IFERROR(VLOOKUP($FL$3,optionalAttributePTDMap,MATCH($A14,attributeMapFeedProductType,0)+1,FALSE),0)&gt;0,0,1),IF(IFERROR(VLOOKUP($FL$3,preferredAttributePTDMap,MATCH($A14,attributeMapFeedProductType,0)+1,FALSE),0)&gt;0,0,1),IF(IFERROR(MATCH($A14,attributeMapFeedProductType,0),0)&gt;0,1,0))</formula>
    </cfRule>
  </conditionalFormatting>
  <conditionalFormatting sqref="FM14:FM17">
    <cfRule type="expression" dxfId="246" priority="949">
      <formula>AND(AND((0)),1=1)</formula>
    </cfRule>
    <cfRule type="expression" dxfId="245" priority="950">
      <formula>IF(LEN(FM14)&gt;0,1,0)</formula>
    </cfRule>
    <cfRule type="expression" dxfId="244" priority="951">
      <formula>IF(VLOOKUP($FM$3,requiredAttributePTDMap,MATCH($A14,attributeMapFeedProductType,0)+1,FALSE)&gt;0,1,0)</formula>
    </cfRule>
    <cfRule type="expression" dxfId="243" priority="952">
      <formula>IF(VLOOKUP($FM$3,optionalAttributePTDMap,MATCH($A14,attributeMapFeedProductType,0)+1,FALSE)&gt;0,1,0)</formula>
    </cfRule>
    <cfRule type="expression" dxfId="242" priority="953">
      <formula>IF(VLOOKUP($FM$3,preferredAttributePTDMap,MATCH($A14,attributeMapFeedProductType,0)+1,FALSE)&gt;0,1,0)</formula>
    </cfRule>
    <cfRule type="expression" dxfId="241" priority="954">
      <formula>AND(IF(IFERROR(VLOOKUP($FM$3,requiredAttributePTDMap,MATCH($A14,attributeMapFeedProductType,0)+1,FALSE),0)&gt;0,0,1),IF(IFERROR(VLOOKUP($FM$3,optionalAttributePTDMap,MATCH($A14,attributeMapFeedProductType,0)+1,FALSE),0)&gt;0,0,1),IF(IFERROR(VLOOKUP($FM$3,preferredAttributePTDMap,MATCH($A14,attributeMapFeedProductType,0)+1,FALSE),0)&gt;0,0,1),IF(IFERROR(MATCH($A14,attributeMapFeedProductType,0),0)&gt;0,1,0))</formula>
    </cfRule>
  </conditionalFormatting>
  <conditionalFormatting sqref="FN14:FN17">
    <cfRule type="expression" dxfId="240" priority="955">
      <formula>IF(LEN(FN14)&gt;0,1,0)</formula>
    </cfRule>
    <cfRule type="expression" dxfId="239" priority="956">
      <formula>IF(VLOOKUP($FN$3,requiredAttributePTDMap,MATCH($A14,attributeMapFeedProductType,0)+1,FALSE)&gt;0,1,0)</formula>
    </cfRule>
    <cfRule type="expression" dxfId="238" priority="957">
      <formula>IF(VLOOKUP($FN$3,optionalAttributePTDMap,MATCH($A14,attributeMapFeedProductType,0)+1,FALSE)&gt;0,1,0)</formula>
    </cfRule>
    <cfRule type="expression" dxfId="237" priority="958">
      <formula>IF(VLOOKUP($FN$3,preferredAttributePTDMap,MATCH($A14,attributeMapFeedProductType,0)+1,FALSE)&gt;0,1,0)</formula>
    </cfRule>
    <cfRule type="expression" dxfId="236" priority="959">
      <formula>AND(IF(IFERROR(VLOOKUP($FN$3,requiredAttributePTDMap,MATCH($A14,attributeMapFeedProductType,0)+1,FALSE),0)&gt;0,0,1),IF(IFERROR(VLOOKUP($FN$3,optionalAttributePTDMap,MATCH($A14,attributeMapFeedProductType,0)+1,FALSE),0)&gt;0,0,1),IF(IFERROR(VLOOKUP($FN$3,preferredAttributePTDMap,MATCH($A14,attributeMapFeedProductType,0)+1,FALSE),0)&gt;0,0,1),IF(IFERROR(MATCH($A14,attributeMapFeedProductType,0),0)&gt;0,1,0))</formula>
    </cfRule>
  </conditionalFormatting>
  <conditionalFormatting sqref="FO14:FO17">
    <cfRule type="expression" dxfId="235" priority="960">
      <formula>AND(AND((0)),1=1)</formula>
    </cfRule>
    <cfRule type="expression" dxfId="234" priority="961">
      <formula>IF(LEN(FO14)&gt;0,1,0)</formula>
    </cfRule>
    <cfRule type="expression" dxfId="233" priority="962">
      <formula>IF(VLOOKUP($FO$3,requiredAttributePTDMap,MATCH($A14,attributeMapFeedProductType,0)+1,FALSE)&gt;0,1,0)</formula>
    </cfRule>
    <cfRule type="expression" dxfId="232" priority="963">
      <formula>IF(VLOOKUP($FO$3,optionalAttributePTDMap,MATCH($A14,attributeMapFeedProductType,0)+1,FALSE)&gt;0,1,0)</formula>
    </cfRule>
    <cfRule type="expression" dxfId="231" priority="964">
      <formula>IF(VLOOKUP($FO$3,preferredAttributePTDMap,MATCH($A14,attributeMapFeedProductType,0)+1,FALSE)&gt;0,1,0)</formula>
    </cfRule>
    <cfRule type="expression" dxfId="230" priority="965">
      <formula>AND(IF(IFERROR(VLOOKUP($FO$3,requiredAttributePTDMap,MATCH($A14,attributeMapFeedProductType,0)+1,FALSE),0)&gt;0,0,1),IF(IFERROR(VLOOKUP($FO$3,optionalAttributePTDMap,MATCH($A14,attributeMapFeedProductType,0)+1,FALSE),0)&gt;0,0,1),IF(IFERROR(VLOOKUP($FO$3,preferredAttributePTDMap,MATCH($A14,attributeMapFeedProductType,0)+1,FALSE),0)&gt;0,0,1),IF(IFERROR(MATCH($A14,attributeMapFeedProductType,0),0)&gt;0,1,0))</formula>
    </cfRule>
  </conditionalFormatting>
  <conditionalFormatting sqref="FP14:FP17">
    <cfRule type="expression" dxfId="229" priority="966">
      <formula>IF(LEN(FP14)&gt;0,1,0)</formula>
    </cfRule>
    <cfRule type="expression" dxfId="228" priority="967">
      <formula>AND(A14&lt;&gt;"",OR(OR((FQ14&lt;&gt;"")),OR((FR14&lt;&gt;""))))</formula>
    </cfRule>
    <cfRule type="expression" dxfId="227" priority="968">
      <formula>IF(VLOOKUP($FP$3,requiredAttributePTDMap,MATCH($A14,attributeMapFeedProductType,0)+1,FALSE)&gt;0,1,0)</formula>
    </cfRule>
    <cfRule type="expression" dxfId="226" priority="969">
      <formula>IF(VLOOKUP($FP$3,optionalAttributePTDMap,MATCH($A14,attributeMapFeedProductType,0)+1,FALSE)&gt;0,1,0)</formula>
    </cfRule>
    <cfRule type="expression" dxfId="225" priority="970">
      <formula>IF(VLOOKUP($FP$3,preferredAttributePTDMap,MATCH($A14,attributeMapFeedProductType,0)+1,FALSE)&gt;0,1,0)</formula>
    </cfRule>
    <cfRule type="expression" dxfId="224" priority="971">
      <formula>AND(IF(IFERROR(VLOOKUP($FP$3,requiredAttributePTDMap,MATCH($A14,attributeMapFeedProductType,0)+1,FALSE),0)&gt;0,0,1),IF(IFERROR(VLOOKUP($FP$3,optionalAttributePTDMap,MATCH($A14,attributeMapFeedProductType,0)+1,FALSE),0)&gt;0,0,1),IF(IFERROR(VLOOKUP($FP$3,preferredAttributePTDMap,MATCH($A14,attributeMapFeedProductType,0)+1,FALSE),0)&gt;0,0,1),IF(IFERROR(MATCH($A14,attributeMapFeedProductType,0),0)&gt;0,1,0))</formula>
    </cfRule>
  </conditionalFormatting>
  <conditionalFormatting sqref="FQ14:FQ17">
    <cfRule type="expression" dxfId="223" priority="972">
      <formula>IF(LEN(FQ14)&gt;0,1,0)</formula>
    </cfRule>
    <cfRule type="expression" dxfId="222" priority="973">
      <formula>AND(A14&lt;&gt;"",OR(OR((FP14&lt;&gt;"")),OR((FR14&lt;&gt;""))))</formula>
    </cfRule>
    <cfRule type="expression" dxfId="221" priority="974">
      <formula>IF(VLOOKUP($FQ$3,requiredAttributePTDMap,MATCH($A14,attributeMapFeedProductType,0)+1,FALSE)&gt;0,1,0)</formula>
    </cfRule>
    <cfRule type="expression" dxfId="220" priority="975">
      <formula>IF(VLOOKUP($FQ$3,optionalAttributePTDMap,MATCH($A14,attributeMapFeedProductType,0)+1,FALSE)&gt;0,1,0)</formula>
    </cfRule>
    <cfRule type="expression" dxfId="219" priority="976">
      <formula>IF(VLOOKUP($FQ$3,preferredAttributePTDMap,MATCH($A14,attributeMapFeedProductType,0)+1,FALSE)&gt;0,1,0)</formula>
    </cfRule>
    <cfRule type="expression" dxfId="218" priority="977">
      <formula>AND(IF(IFERROR(VLOOKUP($FQ$3,requiredAttributePTDMap,MATCH($A14,attributeMapFeedProductType,0)+1,FALSE),0)&gt;0,0,1),IF(IFERROR(VLOOKUP($FQ$3,optionalAttributePTDMap,MATCH($A14,attributeMapFeedProductType,0)+1,FALSE),0)&gt;0,0,1),IF(IFERROR(VLOOKUP($FQ$3,preferredAttributePTDMap,MATCH($A14,attributeMapFeedProductType,0)+1,FALSE),0)&gt;0,0,1),IF(IFERROR(MATCH($A14,attributeMapFeedProductType,0),0)&gt;0,1,0))</formula>
    </cfRule>
  </conditionalFormatting>
  <conditionalFormatting sqref="FR14:FR17">
    <cfRule type="expression" dxfId="217" priority="978">
      <formula>IF(LEN(FR14)&gt;0,1,0)</formula>
    </cfRule>
    <cfRule type="expression" dxfId="216" priority="979">
      <formula>AND(A14&lt;&gt;"",OR(OR((FP14&lt;&gt;"")),OR((FQ14&lt;&gt;""))))</formula>
    </cfRule>
    <cfRule type="expression" dxfId="215" priority="980">
      <formula>IF(VLOOKUP($FR$3,requiredAttributePTDMap,MATCH($A14,attributeMapFeedProductType,0)+1,FALSE)&gt;0,1,0)</formula>
    </cfRule>
    <cfRule type="expression" dxfId="214" priority="981">
      <formula>IF(VLOOKUP($FR$3,optionalAttributePTDMap,MATCH($A14,attributeMapFeedProductType,0)+1,FALSE)&gt;0,1,0)</formula>
    </cfRule>
    <cfRule type="expression" dxfId="213" priority="982">
      <formula>IF(VLOOKUP($FR$3,preferredAttributePTDMap,MATCH($A14,attributeMapFeedProductType,0)+1,FALSE)&gt;0,1,0)</formula>
    </cfRule>
    <cfRule type="expression" dxfId="212" priority="983">
      <formula>AND(IF(IFERROR(VLOOKUP($FR$3,requiredAttributePTDMap,MATCH($A14,attributeMapFeedProductType,0)+1,FALSE),0)&gt;0,0,1),IF(IFERROR(VLOOKUP($FR$3,optionalAttributePTDMap,MATCH($A14,attributeMapFeedProductType,0)+1,FALSE),0)&gt;0,0,1),IF(IFERROR(VLOOKUP($FR$3,preferredAttributePTDMap,MATCH($A14,attributeMapFeedProductType,0)+1,FALSE),0)&gt;0,0,1),IF(IFERROR(MATCH($A14,attributeMapFeedProductType,0),0)&gt;0,1,0))</formula>
    </cfRule>
  </conditionalFormatting>
  <conditionalFormatting sqref="FS14:FS17">
    <cfRule type="expression" dxfId="211" priority="984">
      <formula>AND(AND((0)),1=1)</formula>
    </cfRule>
    <cfRule type="expression" dxfId="210" priority="985">
      <formula>IF(LEN(FS14)&gt;0,1,0)</formula>
    </cfRule>
    <cfRule type="expression" dxfId="209" priority="986">
      <formula>IF(VLOOKUP($FS$3,requiredAttributePTDMap,MATCH($A14,attributeMapFeedProductType,0)+1,FALSE)&gt;0,1,0)</formula>
    </cfRule>
    <cfRule type="expression" dxfId="208" priority="987">
      <formula>IF(VLOOKUP($FS$3,optionalAttributePTDMap,MATCH($A14,attributeMapFeedProductType,0)+1,FALSE)&gt;0,1,0)</formula>
    </cfRule>
    <cfRule type="expression" dxfId="207" priority="988">
      <formula>IF(VLOOKUP($FS$3,preferredAttributePTDMap,MATCH($A14,attributeMapFeedProductType,0)+1,FALSE)&gt;0,1,0)</formula>
    </cfRule>
    <cfRule type="expression" dxfId="206" priority="989">
      <formula>AND(IF(IFERROR(VLOOKUP($FS$3,requiredAttributePTDMap,MATCH($A14,attributeMapFeedProductType,0)+1,FALSE),0)&gt;0,0,1),IF(IFERROR(VLOOKUP($FS$3,optionalAttributePTDMap,MATCH($A14,attributeMapFeedProductType,0)+1,FALSE),0)&gt;0,0,1),IF(IFERROR(VLOOKUP($FS$3,preferredAttributePTDMap,MATCH($A14,attributeMapFeedProductType,0)+1,FALSE),0)&gt;0,0,1),IF(IFERROR(MATCH($A14,attributeMapFeedProductType,0),0)&gt;0,1,0))</formula>
    </cfRule>
  </conditionalFormatting>
  <conditionalFormatting sqref="FT14:FT17">
    <cfRule type="expression" dxfId="205" priority="990">
      <formula>IF(LEN(FT14)&gt;0,1,0)</formula>
    </cfRule>
    <cfRule type="expression" dxfId="204" priority="991">
      <formula>IF(VLOOKUP($FT$3,requiredAttributePTDMap,MATCH($A14,attributeMapFeedProductType,0)+1,FALSE)&gt;0,1,0)</formula>
    </cfRule>
    <cfRule type="expression" dxfId="203" priority="992">
      <formula>IF(VLOOKUP($FT$3,optionalAttributePTDMap,MATCH($A14,attributeMapFeedProductType,0)+1,FALSE)&gt;0,1,0)</formula>
    </cfRule>
    <cfRule type="expression" dxfId="202" priority="993">
      <formula>IF(VLOOKUP($FT$3,preferredAttributePTDMap,MATCH($A14,attributeMapFeedProductType,0)+1,FALSE)&gt;0,1,0)</formula>
    </cfRule>
    <cfRule type="expression" dxfId="201" priority="994">
      <formula>AND(IF(IFERROR(VLOOKUP($FT$3,requiredAttributePTDMap,MATCH($A14,attributeMapFeedProductType,0)+1,FALSE),0)&gt;0,0,1),IF(IFERROR(VLOOKUP($FT$3,optionalAttributePTDMap,MATCH($A14,attributeMapFeedProductType,0)+1,FALSE),0)&gt;0,0,1),IF(IFERROR(VLOOKUP($FT$3,preferredAttributePTDMap,MATCH($A14,attributeMapFeedProductType,0)+1,FALSE),0)&gt;0,0,1),IF(IFERROR(MATCH($A14,attributeMapFeedProductType,0),0)&gt;0,1,0))</formula>
    </cfRule>
  </conditionalFormatting>
  <conditionalFormatting sqref="FU14:FU17">
    <cfRule type="expression" dxfId="200" priority="995">
      <formula>AND(AND((0)),1=1)</formula>
    </cfRule>
    <cfRule type="expression" dxfId="199" priority="996">
      <formula>IF(LEN(FU14)&gt;0,1,0)</formula>
    </cfRule>
    <cfRule type="expression" dxfId="198" priority="997">
      <formula>IF(VLOOKUP($FU$3,requiredAttributePTDMap,MATCH($A14,attributeMapFeedProductType,0)+1,FALSE)&gt;0,1,0)</formula>
    </cfRule>
    <cfRule type="expression" dxfId="197" priority="998">
      <formula>IF(VLOOKUP($FU$3,optionalAttributePTDMap,MATCH($A14,attributeMapFeedProductType,0)+1,FALSE)&gt;0,1,0)</formula>
    </cfRule>
    <cfRule type="expression" dxfId="196" priority="999">
      <formula>IF(VLOOKUP($FU$3,preferredAttributePTDMap,MATCH($A14,attributeMapFeedProductType,0)+1,FALSE)&gt;0,1,0)</formula>
    </cfRule>
    <cfRule type="expression" dxfId="195" priority="1000">
      <formula>AND(IF(IFERROR(VLOOKUP($FU$3,requiredAttributePTDMap,MATCH($A14,attributeMapFeedProductType,0)+1,FALSE),0)&gt;0,0,1),IF(IFERROR(VLOOKUP($FU$3,optionalAttributePTDMap,MATCH($A14,attributeMapFeedProductType,0)+1,FALSE),0)&gt;0,0,1),IF(IFERROR(VLOOKUP($FU$3,preferredAttributePTDMap,MATCH($A14,attributeMapFeedProductType,0)+1,FALSE),0)&gt;0,0,1),IF(IFERROR(MATCH($A14,attributeMapFeedProductType,0),0)&gt;0,1,0))</formula>
    </cfRule>
  </conditionalFormatting>
  <conditionalFormatting sqref="FV14:FV17">
    <cfRule type="expression" dxfId="194" priority="1001">
      <formula>IF(LEN(FV14)&gt;0,1,0)</formula>
    </cfRule>
    <cfRule type="expression" dxfId="193" priority="1002">
      <formula>AND(A14&lt;&gt;"",OR(OR((FW14&lt;&gt;"")),OR((FX14&lt;&gt;""))))</formula>
    </cfRule>
    <cfRule type="expression" dxfId="192" priority="1003">
      <formula>IF(VLOOKUP($FV$3,requiredAttributePTDMap,MATCH($A14,attributeMapFeedProductType,0)+1,FALSE)&gt;0,1,0)</formula>
    </cfRule>
    <cfRule type="expression" dxfId="191" priority="1004">
      <formula>IF(VLOOKUP($FV$3,optionalAttributePTDMap,MATCH($A14,attributeMapFeedProductType,0)+1,FALSE)&gt;0,1,0)</formula>
    </cfRule>
    <cfRule type="expression" dxfId="190" priority="1005">
      <formula>IF(VLOOKUP($FV$3,preferredAttributePTDMap,MATCH($A14,attributeMapFeedProductType,0)+1,FALSE)&gt;0,1,0)</formula>
    </cfRule>
    <cfRule type="expression" dxfId="189" priority="1006">
      <formula>AND(IF(IFERROR(VLOOKUP($FV$3,requiredAttributePTDMap,MATCH($A14,attributeMapFeedProductType,0)+1,FALSE),0)&gt;0,0,1),IF(IFERROR(VLOOKUP($FV$3,optionalAttributePTDMap,MATCH($A14,attributeMapFeedProductType,0)+1,FALSE),0)&gt;0,0,1),IF(IFERROR(VLOOKUP($FV$3,preferredAttributePTDMap,MATCH($A14,attributeMapFeedProductType,0)+1,FALSE),0)&gt;0,0,1),IF(IFERROR(MATCH($A14,attributeMapFeedProductType,0),0)&gt;0,1,0))</formula>
    </cfRule>
  </conditionalFormatting>
  <conditionalFormatting sqref="FW14:FW17">
    <cfRule type="expression" dxfId="188" priority="1007">
      <formula>IF(LEN(FW14)&gt;0,1,0)</formula>
    </cfRule>
    <cfRule type="expression" dxfId="187" priority="1008">
      <formula>AND(A14&lt;&gt;"",OR(OR((FV14&lt;&gt;"")),OR((FX14&lt;&gt;""))))</formula>
    </cfRule>
    <cfRule type="expression" dxfId="186" priority="1009">
      <formula>IF(VLOOKUP($FW$3,requiredAttributePTDMap,MATCH($A14,attributeMapFeedProductType,0)+1,FALSE)&gt;0,1,0)</formula>
    </cfRule>
    <cfRule type="expression" dxfId="185" priority="1010">
      <formula>IF(VLOOKUP($FW$3,optionalAttributePTDMap,MATCH($A14,attributeMapFeedProductType,0)+1,FALSE)&gt;0,1,0)</formula>
    </cfRule>
    <cfRule type="expression" dxfId="184" priority="1011">
      <formula>IF(VLOOKUP($FW$3,preferredAttributePTDMap,MATCH($A14,attributeMapFeedProductType,0)+1,FALSE)&gt;0,1,0)</formula>
    </cfRule>
    <cfRule type="expression" dxfId="183" priority="1012">
      <formula>AND(IF(IFERROR(VLOOKUP($FW$3,requiredAttributePTDMap,MATCH($A14,attributeMapFeedProductType,0)+1,FALSE),0)&gt;0,0,1),IF(IFERROR(VLOOKUP($FW$3,optionalAttributePTDMap,MATCH($A14,attributeMapFeedProductType,0)+1,FALSE),0)&gt;0,0,1),IF(IFERROR(VLOOKUP($FW$3,preferredAttributePTDMap,MATCH($A14,attributeMapFeedProductType,0)+1,FALSE),0)&gt;0,0,1),IF(IFERROR(MATCH($A14,attributeMapFeedProductType,0),0)&gt;0,1,0))</formula>
    </cfRule>
  </conditionalFormatting>
  <conditionalFormatting sqref="FX14:FX17">
    <cfRule type="expression" dxfId="182" priority="1013">
      <formula>IF(LEN(FX14)&gt;0,1,0)</formula>
    </cfRule>
    <cfRule type="expression" dxfId="181" priority="1014">
      <formula>AND(A14&lt;&gt;"",OR(OR((FV14&lt;&gt;"")),OR((FW14&lt;&gt;""))))</formula>
    </cfRule>
    <cfRule type="expression" dxfId="180" priority="1015">
      <formula>IF(VLOOKUP($FX$3,requiredAttributePTDMap,MATCH($A14,attributeMapFeedProductType,0)+1,FALSE)&gt;0,1,0)</formula>
    </cfRule>
    <cfRule type="expression" dxfId="179" priority="1016">
      <formula>IF(VLOOKUP($FX$3,optionalAttributePTDMap,MATCH($A14,attributeMapFeedProductType,0)+1,FALSE)&gt;0,1,0)</formula>
    </cfRule>
    <cfRule type="expression" dxfId="178" priority="1017">
      <formula>IF(VLOOKUP($FX$3,preferredAttributePTDMap,MATCH($A14,attributeMapFeedProductType,0)+1,FALSE)&gt;0,1,0)</formula>
    </cfRule>
    <cfRule type="expression" dxfId="177" priority="1018">
      <formula>AND(IF(IFERROR(VLOOKUP($FX$3,requiredAttributePTDMap,MATCH($A14,attributeMapFeedProductType,0)+1,FALSE),0)&gt;0,0,1),IF(IFERROR(VLOOKUP($FX$3,optionalAttributePTDMap,MATCH($A14,attributeMapFeedProductType,0)+1,FALSE),0)&gt;0,0,1),IF(IFERROR(VLOOKUP($FX$3,preferredAttributePTDMap,MATCH($A14,attributeMapFeedProductType,0)+1,FALSE),0)&gt;0,0,1),IF(IFERROR(MATCH($A14,attributeMapFeedProductType,0),0)&gt;0,1,0))</formula>
    </cfRule>
  </conditionalFormatting>
  <conditionalFormatting sqref="FY14:FY17">
    <cfRule type="expression" dxfId="176" priority="1019">
      <formula>AND(AND((0)),1=1)</formula>
    </cfRule>
    <cfRule type="expression" dxfId="175" priority="1020">
      <formula>IF(LEN(FY14)&gt;0,1,0)</formula>
    </cfRule>
    <cfRule type="expression" dxfId="174" priority="1021">
      <formula>IF(VLOOKUP($FY$3,requiredAttributePTDMap,MATCH($A14,attributeMapFeedProductType,0)+1,FALSE)&gt;0,1,0)</formula>
    </cfRule>
    <cfRule type="expression" dxfId="173" priority="1022">
      <formula>IF(VLOOKUP($FY$3,optionalAttributePTDMap,MATCH($A14,attributeMapFeedProductType,0)+1,FALSE)&gt;0,1,0)</formula>
    </cfRule>
    <cfRule type="expression" dxfId="172" priority="1023">
      <formula>IF(VLOOKUP($FY$3,preferredAttributePTDMap,MATCH($A14,attributeMapFeedProductType,0)+1,FALSE)&gt;0,1,0)</formula>
    </cfRule>
    <cfRule type="expression" dxfId="171" priority="1024">
      <formula>AND(IF(IFERROR(VLOOKUP($FY$3,requiredAttributePTDMap,MATCH($A14,attributeMapFeedProductType,0)+1,FALSE),0)&gt;0,0,1),IF(IFERROR(VLOOKUP($FY$3,optionalAttributePTDMap,MATCH($A14,attributeMapFeedProductType,0)+1,FALSE),0)&gt;0,0,1),IF(IFERROR(VLOOKUP($FY$3,preferredAttributePTDMap,MATCH($A14,attributeMapFeedProductType,0)+1,FALSE),0)&gt;0,0,1),IF(IFERROR(MATCH($A14,attributeMapFeedProductType,0),0)&gt;0,1,0))</formula>
    </cfRule>
  </conditionalFormatting>
  <conditionalFormatting sqref="FZ14:FZ17">
    <cfRule type="expression" dxfId="170" priority="1025">
      <formula>IF(LEN(FZ14)&gt;0,1,0)</formula>
    </cfRule>
    <cfRule type="expression" dxfId="169" priority="1026">
      <formula>IF(VLOOKUP($FZ$3,requiredAttributePTDMap,MATCH($A14,attributeMapFeedProductType,0)+1,FALSE)&gt;0,1,0)</formula>
    </cfRule>
    <cfRule type="expression" dxfId="168" priority="1027">
      <formula>IF(VLOOKUP($FZ$3,optionalAttributePTDMap,MATCH($A14,attributeMapFeedProductType,0)+1,FALSE)&gt;0,1,0)</formula>
    </cfRule>
    <cfRule type="expression" dxfId="167" priority="1028">
      <formula>IF(VLOOKUP($FZ$3,preferredAttributePTDMap,MATCH($A14,attributeMapFeedProductType,0)+1,FALSE)&gt;0,1,0)</formula>
    </cfRule>
    <cfRule type="expression" dxfId="166" priority="1029">
      <formula>AND(IF(IFERROR(VLOOKUP($FZ$3,requiredAttributePTDMap,MATCH($A14,attributeMapFeedProductType,0)+1,FALSE),0)&gt;0,0,1),IF(IFERROR(VLOOKUP($FZ$3,optionalAttributePTDMap,MATCH($A14,attributeMapFeedProductType,0)+1,FALSE),0)&gt;0,0,1),IF(IFERROR(VLOOKUP($FZ$3,preferredAttributePTDMap,MATCH($A14,attributeMapFeedProductType,0)+1,FALSE),0)&gt;0,0,1),IF(IFERROR(MATCH($A14,attributeMapFeedProductType,0),0)&gt;0,1,0))</formula>
    </cfRule>
  </conditionalFormatting>
  <conditionalFormatting sqref="GA14:GA17">
    <cfRule type="expression" dxfId="165" priority="1030">
      <formula>AND(AND((0)),1=1)</formula>
    </cfRule>
    <cfRule type="expression" dxfId="164" priority="1031">
      <formula>IF(LEN(GA14)&gt;0,1,0)</formula>
    </cfRule>
    <cfRule type="expression" dxfId="163" priority="1032">
      <formula>IF(VLOOKUP($GA$3,requiredAttributePTDMap,MATCH($A14,attributeMapFeedProductType,0)+1,FALSE)&gt;0,1,0)</formula>
    </cfRule>
    <cfRule type="expression" dxfId="162" priority="1033">
      <formula>IF(VLOOKUP($GA$3,optionalAttributePTDMap,MATCH($A14,attributeMapFeedProductType,0)+1,FALSE)&gt;0,1,0)</formula>
    </cfRule>
    <cfRule type="expression" dxfId="161" priority="1034">
      <formula>IF(VLOOKUP($GA$3,preferredAttributePTDMap,MATCH($A14,attributeMapFeedProductType,0)+1,FALSE)&gt;0,1,0)</formula>
    </cfRule>
    <cfRule type="expression" dxfId="160" priority="1035">
      <formula>AND(IF(IFERROR(VLOOKUP($GA$3,requiredAttributePTDMap,MATCH($A14,attributeMapFeedProductType,0)+1,FALSE),0)&gt;0,0,1),IF(IFERROR(VLOOKUP($GA$3,optionalAttributePTDMap,MATCH($A14,attributeMapFeedProductType,0)+1,FALSE),0)&gt;0,0,1),IF(IFERROR(VLOOKUP($GA$3,preferredAttributePTDMap,MATCH($A14,attributeMapFeedProductType,0)+1,FALSE),0)&gt;0,0,1),IF(IFERROR(MATCH($A14,attributeMapFeedProductType,0),0)&gt;0,1,0))</formula>
    </cfRule>
  </conditionalFormatting>
  <conditionalFormatting sqref="GB14:GB17">
    <cfRule type="expression" dxfId="159" priority="1036">
      <formula>IF(LEN(GB14)&gt;0,1,0)</formula>
    </cfRule>
    <cfRule type="expression" dxfId="158" priority="1037">
      <formula>IF(VLOOKUP($GB$3,requiredAttributePTDMap,MATCH($A14,attributeMapFeedProductType,0)+1,FALSE)&gt;0,1,0)</formula>
    </cfRule>
    <cfRule type="expression" dxfId="157" priority="1038">
      <formula>IF(VLOOKUP($GB$3,optionalAttributePTDMap,MATCH($A14,attributeMapFeedProductType,0)+1,FALSE)&gt;0,1,0)</formula>
    </cfRule>
    <cfRule type="expression" dxfId="156" priority="1039">
      <formula>IF(VLOOKUP($GB$3,preferredAttributePTDMap,MATCH($A14,attributeMapFeedProductType,0)+1,FALSE)&gt;0,1,0)</formula>
    </cfRule>
    <cfRule type="expression" dxfId="155" priority="1040">
      <formula>AND(IF(IFERROR(VLOOKUP($GB$3,requiredAttributePTDMap,MATCH($A14,attributeMapFeedProductType,0)+1,FALSE),0)&gt;0,0,1),IF(IFERROR(VLOOKUP($GB$3,optionalAttributePTDMap,MATCH($A14,attributeMapFeedProductType,0)+1,FALSE),0)&gt;0,0,1),IF(IFERROR(VLOOKUP($GB$3,preferredAttributePTDMap,MATCH($A14,attributeMapFeedProductType,0)+1,FALSE),0)&gt;0,0,1),IF(IFERROR(MATCH($A14,attributeMapFeedProductType,0),0)&gt;0,1,0))</formula>
    </cfRule>
  </conditionalFormatting>
  <conditionalFormatting sqref="GC14:GC17">
    <cfRule type="expression" dxfId="154" priority="1041">
      <formula>IF(LEN(GC14)&gt;0,1,0)</formula>
    </cfRule>
    <cfRule type="expression" dxfId="153" priority="1042">
      <formula>IF(VLOOKUP($GC$3,requiredAttributePTDMap,MATCH($A14,attributeMapFeedProductType,0)+1,FALSE)&gt;0,1,0)</formula>
    </cfRule>
    <cfRule type="expression" dxfId="152" priority="1043">
      <formula>IF(VLOOKUP($GC$3,optionalAttributePTDMap,MATCH($A14,attributeMapFeedProductType,0)+1,FALSE)&gt;0,1,0)</formula>
    </cfRule>
    <cfRule type="expression" dxfId="151" priority="1044">
      <formula>IF(VLOOKUP($GC$3,preferredAttributePTDMap,MATCH($A14,attributeMapFeedProductType,0)+1,FALSE)&gt;0,1,0)</formula>
    </cfRule>
    <cfRule type="expression" dxfId="150" priority="1045">
      <formula>AND(IF(IFERROR(VLOOKUP($GC$3,requiredAttributePTDMap,MATCH($A14,attributeMapFeedProductType,0)+1,FALSE),0)&gt;0,0,1),IF(IFERROR(VLOOKUP($GC$3,optionalAttributePTDMap,MATCH($A14,attributeMapFeedProductType,0)+1,FALSE),0)&gt;0,0,1),IF(IFERROR(VLOOKUP($GC$3,preferredAttributePTDMap,MATCH($A14,attributeMapFeedProductType,0)+1,FALSE),0)&gt;0,0,1),IF(IFERROR(MATCH($A14,attributeMapFeedProductType,0),0)&gt;0,1,0))</formula>
    </cfRule>
  </conditionalFormatting>
  <conditionalFormatting sqref="GD14:GD17">
    <cfRule type="expression" dxfId="149" priority="1046">
      <formula>IF(LEN(GD14)&gt;0,1,0)</formula>
    </cfRule>
    <cfRule type="expression" dxfId="148" priority="1047">
      <formula>IF(VLOOKUP($GD$3,requiredAttributePTDMap,MATCH($A14,attributeMapFeedProductType,0)+1,FALSE)&gt;0,1,0)</formula>
    </cfRule>
    <cfRule type="expression" dxfId="147" priority="1048">
      <formula>IF(VLOOKUP($GD$3,optionalAttributePTDMap,MATCH($A14,attributeMapFeedProductType,0)+1,FALSE)&gt;0,1,0)</formula>
    </cfRule>
    <cfRule type="expression" dxfId="146" priority="1049">
      <formula>IF(VLOOKUP($GD$3,preferredAttributePTDMap,MATCH($A14,attributeMapFeedProductType,0)+1,FALSE)&gt;0,1,0)</formula>
    </cfRule>
    <cfRule type="expression" dxfId="145" priority="1050">
      <formula>AND(IF(IFERROR(VLOOKUP($GD$3,requiredAttributePTDMap,MATCH($A14,attributeMapFeedProductType,0)+1,FALSE),0)&gt;0,0,1),IF(IFERROR(VLOOKUP($GD$3,optionalAttributePTDMap,MATCH($A14,attributeMapFeedProductType,0)+1,FALSE),0)&gt;0,0,1),IF(IFERROR(VLOOKUP($GD$3,preferredAttributePTDMap,MATCH($A14,attributeMapFeedProductType,0)+1,FALSE),0)&gt;0,0,1),IF(IFERROR(MATCH($A14,attributeMapFeedProductType,0),0)&gt;0,1,0))</formula>
    </cfRule>
  </conditionalFormatting>
  <conditionalFormatting sqref="GE14:GE17">
    <cfRule type="expression" dxfId="144" priority="1051">
      <formula>IF(LEN(GE14)&gt;0,1,0)</formula>
    </cfRule>
    <cfRule type="expression" dxfId="143" priority="1052">
      <formula>IF(VLOOKUP($GE$3,requiredAttributePTDMap,MATCH($A14,attributeMapFeedProductType,0)+1,FALSE)&gt;0,1,0)</formula>
    </cfRule>
    <cfRule type="expression" dxfId="142" priority="1053">
      <formula>IF(VLOOKUP($GE$3,optionalAttributePTDMap,MATCH($A14,attributeMapFeedProductType,0)+1,FALSE)&gt;0,1,0)</formula>
    </cfRule>
    <cfRule type="expression" dxfId="141" priority="1054">
      <formula>IF(VLOOKUP($GE$3,preferredAttributePTDMap,MATCH($A14,attributeMapFeedProductType,0)+1,FALSE)&gt;0,1,0)</formula>
    </cfRule>
    <cfRule type="expression" dxfId="140" priority="1055">
      <formula>AND(IF(IFERROR(VLOOKUP($GE$3,requiredAttributePTDMap,MATCH($A14,attributeMapFeedProductType,0)+1,FALSE),0)&gt;0,0,1),IF(IFERROR(VLOOKUP($GE$3,optionalAttributePTDMap,MATCH($A14,attributeMapFeedProductType,0)+1,FALSE),0)&gt;0,0,1),IF(IFERROR(VLOOKUP($GE$3,preferredAttributePTDMap,MATCH($A14,attributeMapFeedProductType,0)+1,FALSE),0)&gt;0,0,1),IF(IFERROR(MATCH($A14,attributeMapFeedProductType,0),0)&gt;0,1,0))</formula>
    </cfRule>
  </conditionalFormatting>
  <conditionalFormatting sqref="GF14:GF17">
    <cfRule type="expression" dxfId="139" priority="1056">
      <formula>IF(LEN(GF14)&gt;0,1,0)</formula>
    </cfRule>
    <cfRule type="expression" dxfId="138" priority="1057">
      <formula>IF(VLOOKUP($GF$3,requiredAttributePTDMap,MATCH($A14,attributeMapFeedProductType,0)+1,FALSE)&gt;0,1,0)</formula>
    </cfRule>
    <cfRule type="expression" dxfId="137" priority="1058">
      <formula>IF(VLOOKUP($GF$3,optionalAttributePTDMap,MATCH($A14,attributeMapFeedProductType,0)+1,FALSE)&gt;0,1,0)</formula>
    </cfRule>
    <cfRule type="expression" dxfId="136" priority="1059">
      <formula>IF(VLOOKUP($GF$3,preferredAttributePTDMap,MATCH($A14,attributeMapFeedProductType,0)+1,FALSE)&gt;0,1,0)</formula>
    </cfRule>
    <cfRule type="expression" dxfId="135" priority="1060">
      <formula>AND(IF(IFERROR(VLOOKUP($GF$3,requiredAttributePTDMap,MATCH($A14,attributeMapFeedProductType,0)+1,FALSE),0)&gt;0,0,1),IF(IFERROR(VLOOKUP($GF$3,optionalAttributePTDMap,MATCH($A14,attributeMapFeedProductType,0)+1,FALSE),0)&gt;0,0,1),IF(IFERROR(VLOOKUP($GF$3,preferredAttributePTDMap,MATCH($A14,attributeMapFeedProductType,0)+1,FALSE),0)&gt;0,0,1),IF(IFERROR(MATCH($A14,attributeMapFeedProductType,0),0)&gt;0,1,0))</formula>
    </cfRule>
  </conditionalFormatting>
  <conditionalFormatting sqref="GG14:GG17">
    <cfRule type="expression" dxfId="134" priority="1061">
      <formula>IF(LEN(GG14)&gt;0,1,0)</formula>
    </cfRule>
    <cfRule type="expression" dxfId="133" priority="1062">
      <formula>IF(VLOOKUP($GG$3,requiredAttributePTDMap,MATCH($A14,attributeMapFeedProductType,0)+1,FALSE)&gt;0,1,0)</formula>
    </cfRule>
    <cfRule type="expression" dxfId="132" priority="1063">
      <formula>IF(VLOOKUP($GG$3,optionalAttributePTDMap,MATCH($A14,attributeMapFeedProductType,0)+1,FALSE)&gt;0,1,0)</formula>
    </cfRule>
    <cfRule type="expression" dxfId="131" priority="1064">
      <formula>IF(VLOOKUP($GG$3,preferredAttributePTDMap,MATCH($A14,attributeMapFeedProductType,0)+1,FALSE)&gt;0,1,0)</formula>
    </cfRule>
    <cfRule type="expression" dxfId="130" priority="1065">
      <formula>AND(IF(IFERROR(VLOOKUP($GG$3,requiredAttributePTDMap,MATCH($A14,attributeMapFeedProductType,0)+1,FALSE),0)&gt;0,0,1),IF(IFERROR(VLOOKUP($GG$3,optionalAttributePTDMap,MATCH($A14,attributeMapFeedProductType,0)+1,FALSE),0)&gt;0,0,1),IF(IFERROR(VLOOKUP($GG$3,preferredAttributePTDMap,MATCH($A14,attributeMapFeedProductType,0)+1,FALSE),0)&gt;0,0,1),IF(IFERROR(MATCH($A14,attributeMapFeedProductType,0),0)&gt;0,1,0))</formula>
    </cfRule>
  </conditionalFormatting>
  <conditionalFormatting sqref="GH14:GH17">
    <cfRule type="expression" dxfId="129" priority="1066">
      <formula>IF(LEN(GH14)&gt;0,1,0)</formula>
    </cfRule>
    <cfRule type="expression" dxfId="128" priority="1067">
      <formula>IF(VLOOKUP($GH$3,requiredAttributePTDMap,MATCH($A14,attributeMapFeedProductType,0)+1,FALSE)&gt;0,1,0)</formula>
    </cfRule>
    <cfRule type="expression" dxfId="127" priority="1068">
      <formula>IF(VLOOKUP($GH$3,optionalAttributePTDMap,MATCH($A14,attributeMapFeedProductType,0)+1,FALSE)&gt;0,1,0)</formula>
    </cfRule>
    <cfRule type="expression" dxfId="126" priority="1069">
      <formula>IF(VLOOKUP($GH$3,preferredAttributePTDMap,MATCH($A14,attributeMapFeedProductType,0)+1,FALSE)&gt;0,1,0)</formula>
    </cfRule>
    <cfRule type="expression" dxfId="125" priority="1070">
      <formula>AND(IF(IFERROR(VLOOKUP($GH$3,requiredAttributePTDMap,MATCH($A14,attributeMapFeedProductType,0)+1,FALSE),0)&gt;0,0,1),IF(IFERROR(VLOOKUP($GH$3,optionalAttributePTDMap,MATCH($A14,attributeMapFeedProductType,0)+1,FALSE),0)&gt;0,0,1),IF(IFERROR(VLOOKUP($GH$3,preferredAttributePTDMap,MATCH($A14,attributeMapFeedProductType,0)+1,FALSE),0)&gt;0,0,1),IF(IFERROR(MATCH($A14,attributeMapFeedProductType,0),0)&gt;0,1,0))</formula>
    </cfRule>
  </conditionalFormatting>
  <conditionalFormatting sqref="GI14:GI17">
    <cfRule type="expression" dxfId="124" priority="1071">
      <formula>IF(LEN(GI14)&gt;0,1,0)</formula>
    </cfRule>
    <cfRule type="expression" dxfId="123" priority="1072">
      <formula>IF(VLOOKUP($GI$3,requiredAttributePTDMap,MATCH($A14,attributeMapFeedProductType,0)+1,FALSE)&gt;0,1,0)</formula>
    </cfRule>
    <cfRule type="expression" dxfId="122" priority="1073">
      <formula>IF(VLOOKUP($GI$3,optionalAttributePTDMap,MATCH($A14,attributeMapFeedProductType,0)+1,FALSE)&gt;0,1,0)</formula>
    </cfRule>
    <cfRule type="expression" dxfId="121" priority="1074">
      <formula>IF(VLOOKUP($GI$3,preferredAttributePTDMap,MATCH($A14,attributeMapFeedProductType,0)+1,FALSE)&gt;0,1,0)</formula>
    </cfRule>
    <cfRule type="expression" dxfId="120" priority="1075">
      <formula>AND(IF(IFERROR(VLOOKUP($GI$3,requiredAttributePTDMap,MATCH($A14,attributeMapFeedProductType,0)+1,FALSE),0)&gt;0,0,1),IF(IFERROR(VLOOKUP($GI$3,optionalAttributePTDMap,MATCH($A14,attributeMapFeedProductType,0)+1,FALSE),0)&gt;0,0,1),IF(IFERROR(VLOOKUP($GI$3,preferredAttributePTDMap,MATCH($A14,attributeMapFeedProductType,0)+1,FALSE),0)&gt;0,0,1),IF(IFERROR(MATCH($A14,attributeMapFeedProductType,0),0)&gt;0,1,0))</formula>
    </cfRule>
  </conditionalFormatting>
  <conditionalFormatting sqref="GJ14:GJ17">
    <cfRule type="expression" dxfId="119" priority="1076">
      <formula>IF(LEN(GJ14)&gt;0,1,0)</formula>
    </cfRule>
    <cfRule type="expression" dxfId="118" priority="1077">
      <formula>IF(VLOOKUP($GJ$3,requiredAttributePTDMap,MATCH($A14,attributeMapFeedProductType,0)+1,FALSE)&gt;0,1,0)</formula>
    </cfRule>
    <cfRule type="expression" dxfId="117" priority="1078">
      <formula>IF(VLOOKUP($GJ$3,optionalAttributePTDMap,MATCH($A14,attributeMapFeedProductType,0)+1,FALSE)&gt;0,1,0)</formula>
    </cfRule>
    <cfRule type="expression" dxfId="116" priority="1079">
      <formula>IF(VLOOKUP($GJ$3,preferredAttributePTDMap,MATCH($A14,attributeMapFeedProductType,0)+1,FALSE)&gt;0,1,0)</formula>
    </cfRule>
    <cfRule type="expression" dxfId="115" priority="1080">
      <formula>AND(IF(IFERROR(VLOOKUP($GJ$3,requiredAttributePTDMap,MATCH($A14,attributeMapFeedProductType,0)+1,FALSE),0)&gt;0,0,1),IF(IFERROR(VLOOKUP($GJ$3,optionalAttributePTDMap,MATCH($A14,attributeMapFeedProductType,0)+1,FALSE),0)&gt;0,0,1),IF(IFERROR(VLOOKUP($GJ$3,preferredAttributePTDMap,MATCH($A14,attributeMapFeedProductType,0)+1,FALSE),0)&gt;0,0,1),IF(IFERROR(MATCH($A14,attributeMapFeedProductType,0),0)&gt;0,1,0))</formula>
    </cfRule>
  </conditionalFormatting>
  <conditionalFormatting sqref="GK14:GK17">
    <cfRule type="expression" dxfId="114" priority="1081">
      <formula>IF(LEN(GK14)&gt;0,1,0)</formula>
    </cfRule>
    <cfRule type="expression" dxfId="113" priority="1082">
      <formula>IF(VLOOKUP($GK$3,requiredAttributePTDMap,MATCH($A14,attributeMapFeedProductType,0)+1,FALSE)&gt;0,1,0)</formula>
    </cfRule>
    <cfRule type="expression" dxfId="112" priority="1083">
      <formula>IF(VLOOKUP($GK$3,optionalAttributePTDMap,MATCH($A14,attributeMapFeedProductType,0)+1,FALSE)&gt;0,1,0)</formula>
    </cfRule>
    <cfRule type="expression" dxfId="111" priority="1084">
      <formula>IF(VLOOKUP($GK$3,preferredAttributePTDMap,MATCH($A14,attributeMapFeedProductType,0)+1,FALSE)&gt;0,1,0)</formula>
    </cfRule>
    <cfRule type="expression" dxfId="110" priority="1085">
      <formula>AND(IF(IFERROR(VLOOKUP($GK$3,requiredAttributePTDMap,MATCH($A14,attributeMapFeedProductType,0)+1,FALSE),0)&gt;0,0,1),IF(IFERROR(VLOOKUP($GK$3,optionalAttributePTDMap,MATCH($A14,attributeMapFeedProductType,0)+1,FALSE),0)&gt;0,0,1),IF(IFERROR(VLOOKUP($GK$3,preferredAttributePTDMap,MATCH($A14,attributeMapFeedProductType,0)+1,FALSE),0)&gt;0,0,1),IF(IFERROR(MATCH($A14,attributeMapFeedProductType,0),0)&gt;0,1,0))</formula>
    </cfRule>
  </conditionalFormatting>
  <conditionalFormatting sqref="GL14:GL17">
    <cfRule type="expression" dxfId="109" priority="1086">
      <formula>IF(LEN(GL14)&gt;0,1,0)</formula>
    </cfRule>
    <cfRule type="expression" dxfId="108" priority="1087">
      <formula>IF(VLOOKUP($GL$3,requiredAttributePTDMap,MATCH($A14,attributeMapFeedProductType,0)+1,FALSE)&gt;0,1,0)</formula>
    </cfRule>
    <cfRule type="expression" dxfId="107" priority="1088">
      <formula>IF(VLOOKUP($GL$3,optionalAttributePTDMap,MATCH($A14,attributeMapFeedProductType,0)+1,FALSE)&gt;0,1,0)</formula>
    </cfRule>
    <cfRule type="expression" dxfId="106" priority="1089">
      <formula>IF(VLOOKUP($GL$3,preferredAttributePTDMap,MATCH($A14,attributeMapFeedProductType,0)+1,FALSE)&gt;0,1,0)</formula>
    </cfRule>
    <cfRule type="expression" dxfId="105" priority="1090">
      <formula>AND(IF(IFERROR(VLOOKUP($GL$3,requiredAttributePTDMap,MATCH($A14,attributeMapFeedProductType,0)+1,FALSE),0)&gt;0,0,1),IF(IFERROR(VLOOKUP($GL$3,optionalAttributePTDMap,MATCH($A14,attributeMapFeedProductType,0)+1,FALSE),0)&gt;0,0,1),IF(IFERROR(VLOOKUP($GL$3,preferredAttributePTDMap,MATCH($A14,attributeMapFeedProductType,0)+1,FALSE),0)&gt;0,0,1),IF(IFERROR(MATCH($A14,attributeMapFeedProductType,0),0)&gt;0,1,0))</formula>
    </cfRule>
  </conditionalFormatting>
  <conditionalFormatting sqref="GM14:GM17">
    <cfRule type="expression" dxfId="104" priority="1091">
      <formula>IF(LEN(GM14)&gt;0,1,0)</formula>
    </cfRule>
    <cfRule type="expression" dxfId="103" priority="1092">
      <formula>IF(VLOOKUP($GM$3,requiredAttributePTDMap,MATCH($A14,attributeMapFeedProductType,0)+1,FALSE)&gt;0,1,0)</formula>
    </cfRule>
    <cfRule type="expression" dxfId="102" priority="1093">
      <formula>IF(VLOOKUP($GM$3,optionalAttributePTDMap,MATCH($A14,attributeMapFeedProductType,0)+1,FALSE)&gt;0,1,0)</formula>
    </cfRule>
    <cfRule type="expression" dxfId="101" priority="1094">
      <formula>IF(VLOOKUP($GM$3,preferredAttributePTDMap,MATCH($A14,attributeMapFeedProductType,0)+1,FALSE)&gt;0,1,0)</formula>
    </cfRule>
    <cfRule type="expression" dxfId="100" priority="1095">
      <formula>AND(IF(IFERROR(VLOOKUP($GM$3,requiredAttributePTDMap,MATCH($A14,attributeMapFeedProductType,0)+1,FALSE),0)&gt;0,0,1),IF(IFERROR(VLOOKUP($GM$3,optionalAttributePTDMap,MATCH($A14,attributeMapFeedProductType,0)+1,FALSE),0)&gt;0,0,1),IF(IFERROR(VLOOKUP($GM$3,preferredAttributePTDMap,MATCH($A14,attributeMapFeedProductType,0)+1,FALSE),0)&gt;0,0,1),IF(IFERROR(MATCH($A14,attributeMapFeedProductType,0),0)&gt;0,1,0))</formula>
    </cfRule>
  </conditionalFormatting>
  <conditionalFormatting sqref="GN14:GN17">
    <cfRule type="expression" dxfId="99" priority="1096">
      <formula>IF(LEN(GN14)&gt;0,1,0)</formula>
    </cfRule>
    <cfRule type="expression" dxfId="98" priority="1097">
      <formula>IF(VLOOKUP($GN$3,requiredAttributePTDMap,MATCH($A14,attributeMapFeedProductType,0)+1,FALSE)&gt;0,1,0)</formula>
    </cfRule>
    <cfRule type="expression" dxfId="97" priority="1098">
      <formula>IF(VLOOKUP($GN$3,optionalAttributePTDMap,MATCH($A14,attributeMapFeedProductType,0)+1,FALSE)&gt;0,1,0)</formula>
    </cfRule>
    <cfRule type="expression" dxfId="96" priority="1099">
      <formula>IF(VLOOKUP($GN$3,preferredAttributePTDMap,MATCH($A14,attributeMapFeedProductType,0)+1,FALSE)&gt;0,1,0)</formula>
    </cfRule>
    <cfRule type="expression" dxfId="95" priority="1100">
      <formula>AND(IF(IFERROR(VLOOKUP($GN$3,requiredAttributePTDMap,MATCH($A14,attributeMapFeedProductType,0)+1,FALSE),0)&gt;0,0,1),IF(IFERROR(VLOOKUP($GN$3,optionalAttributePTDMap,MATCH($A14,attributeMapFeedProductType,0)+1,FALSE),0)&gt;0,0,1),IF(IFERROR(VLOOKUP($GN$3,preferredAttributePTDMap,MATCH($A14,attributeMapFeedProductType,0)+1,FALSE),0)&gt;0,0,1),IF(IFERROR(MATCH($A14,attributeMapFeedProductType,0),0)&gt;0,1,0))</formula>
    </cfRule>
  </conditionalFormatting>
  <conditionalFormatting sqref="GO14:GO17">
    <cfRule type="expression" dxfId="94" priority="1101">
      <formula>IF(LEN(GO14)&gt;0,1,0)</formula>
    </cfRule>
    <cfRule type="expression" dxfId="93" priority="1102">
      <formula>IF(VLOOKUP($GO$3,requiredAttributePTDMap,MATCH($A14,attributeMapFeedProductType,0)+1,FALSE)&gt;0,1,0)</formula>
    </cfRule>
    <cfRule type="expression" dxfId="92" priority="1103">
      <formula>IF(VLOOKUP($GO$3,optionalAttributePTDMap,MATCH($A14,attributeMapFeedProductType,0)+1,FALSE)&gt;0,1,0)</formula>
    </cfRule>
    <cfRule type="expression" dxfId="91" priority="1104">
      <formula>IF(VLOOKUP($GO$3,preferredAttributePTDMap,MATCH($A14,attributeMapFeedProductType,0)+1,FALSE)&gt;0,1,0)</formula>
    </cfRule>
    <cfRule type="expression" dxfId="90" priority="1105">
      <formula>AND(IF(IFERROR(VLOOKUP($GO$3,requiredAttributePTDMap,MATCH($A14,attributeMapFeedProductType,0)+1,FALSE),0)&gt;0,0,1),IF(IFERROR(VLOOKUP($GO$3,optionalAttributePTDMap,MATCH($A14,attributeMapFeedProductType,0)+1,FALSE),0)&gt;0,0,1),IF(IFERROR(VLOOKUP($GO$3,preferredAttributePTDMap,MATCH($A14,attributeMapFeedProductType,0)+1,FALSE),0)&gt;0,0,1),IF(IFERROR(MATCH($A14,attributeMapFeedProductType,0),0)&gt;0,1,0))</formula>
    </cfRule>
  </conditionalFormatting>
  <conditionalFormatting sqref="GP14:GP17">
    <cfRule type="expression" dxfId="89" priority="1106">
      <formula>IF(LEN(GP14)&gt;0,1,0)</formula>
    </cfRule>
    <cfRule type="expression" dxfId="88" priority="1107">
      <formula>IF(VLOOKUP($GP$3,requiredAttributePTDMap,MATCH($A14,attributeMapFeedProductType,0)+1,FALSE)&gt;0,1,0)</formula>
    </cfRule>
    <cfRule type="expression" dxfId="87" priority="1108">
      <formula>IF(VLOOKUP($GP$3,optionalAttributePTDMap,MATCH($A14,attributeMapFeedProductType,0)+1,FALSE)&gt;0,1,0)</formula>
    </cfRule>
    <cfRule type="expression" dxfId="86" priority="1109">
      <formula>IF(VLOOKUP($GP$3,preferredAttributePTDMap,MATCH($A14,attributeMapFeedProductType,0)+1,FALSE)&gt;0,1,0)</formula>
    </cfRule>
    <cfRule type="expression" dxfId="85" priority="1110">
      <formula>AND(IF(IFERROR(VLOOKUP($GP$3,requiredAttributePTDMap,MATCH($A14,attributeMapFeedProductType,0)+1,FALSE),0)&gt;0,0,1),IF(IFERROR(VLOOKUP($GP$3,optionalAttributePTDMap,MATCH($A14,attributeMapFeedProductType,0)+1,FALSE),0)&gt;0,0,1),IF(IFERROR(VLOOKUP($GP$3,preferredAttributePTDMap,MATCH($A14,attributeMapFeedProductType,0)+1,FALSE),0)&gt;0,0,1),IF(IFERROR(MATCH($A14,attributeMapFeedProductType,0),0)&gt;0,1,0))</formula>
    </cfRule>
  </conditionalFormatting>
  <conditionalFormatting sqref="GQ14:GQ17">
    <cfRule type="expression" dxfId="84" priority="1111">
      <formula>IF(LEN(GQ14)&gt;0,1,0)</formula>
    </cfRule>
    <cfRule type="expression" dxfId="83" priority="1112">
      <formula>IF(VLOOKUP($GQ$3,requiredAttributePTDMap,MATCH($A14,attributeMapFeedProductType,0)+1,FALSE)&gt;0,1,0)</formula>
    </cfRule>
    <cfRule type="expression" dxfId="82" priority="1113">
      <formula>IF(VLOOKUP($GQ$3,optionalAttributePTDMap,MATCH($A14,attributeMapFeedProductType,0)+1,FALSE)&gt;0,1,0)</formula>
    </cfRule>
    <cfRule type="expression" dxfId="81" priority="1114">
      <formula>IF(VLOOKUP($GQ$3,preferredAttributePTDMap,MATCH($A14,attributeMapFeedProductType,0)+1,FALSE)&gt;0,1,0)</formula>
    </cfRule>
    <cfRule type="expression" dxfId="80" priority="1115">
      <formula>AND(IF(IFERROR(VLOOKUP($GQ$3,requiredAttributePTDMap,MATCH($A14,attributeMapFeedProductType,0)+1,FALSE),0)&gt;0,0,1),IF(IFERROR(VLOOKUP($GQ$3,optionalAttributePTDMap,MATCH($A14,attributeMapFeedProductType,0)+1,FALSE),0)&gt;0,0,1),IF(IFERROR(VLOOKUP($GQ$3,preferredAttributePTDMap,MATCH($A14,attributeMapFeedProductType,0)+1,FALSE),0)&gt;0,0,1),IF(IFERROR(MATCH($A14,attributeMapFeedProductType,0),0)&gt;0,1,0))</formula>
    </cfRule>
  </conditionalFormatting>
  <conditionalFormatting sqref="GR14:GR17">
    <cfRule type="expression" dxfId="79" priority="1116">
      <formula>IF(LEN(GR14)&gt;0,1,0)</formula>
    </cfRule>
    <cfRule type="expression" dxfId="78" priority="1117">
      <formula>IF(VLOOKUP($GR$3,requiredAttributePTDMap,MATCH($A14,attributeMapFeedProductType,0)+1,FALSE)&gt;0,1,0)</formula>
    </cfRule>
    <cfRule type="expression" dxfId="77" priority="1118">
      <formula>IF(VLOOKUP($GR$3,optionalAttributePTDMap,MATCH($A14,attributeMapFeedProductType,0)+1,FALSE)&gt;0,1,0)</formula>
    </cfRule>
    <cfRule type="expression" dxfId="76" priority="1119">
      <formula>IF(VLOOKUP($GR$3,preferredAttributePTDMap,MATCH($A14,attributeMapFeedProductType,0)+1,FALSE)&gt;0,1,0)</formula>
    </cfRule>
    <cfRule type="expression" dxfId="75" priority="1120">
      <formula>AND(IF(IFERROR(VLOOKUP($GR$3,requiredAttributePTDMap,MATCH($A14,attributeMapFeedProductType,0)+1,FALSE),0)&gt;0,0,1),IF(IFERROR(VLOOKUP($GR$3,optionalAttributePTDMap,MATCH($A14,attributeMapFeedProductType,0)+1,FALSE),0)&gt;0,0,1),IF(IFERROR(VLOOKUP($GR$3,preferredAttributePTDMap,MATCH($A14,attributeMapFeedProductType,0)+1,FALSE),0)&gt;0,0,1),IF(IFERROR(MATCH($A14,attributeMapFeedProductType,0),0)&gt;0,1,0))</formula>
    </cfRule>
  </conditionalFormatting>
  <conditionalFormatting sqref="GS14:GS17">
    <cfRule type="expression" dxfId="74" priority="1121">
      <formula>IF(LEN(GS14)&gt;0,1,0)</formula>
    </cfRule>
    <cfRule type="expression" dxfId="73" priority="1122">
      <formula>IF(VLOOKUP($GS$3,requiredAttributePTDMap,MATCH($A14,attributeMapFeedProductType,0)+1,FALSE)&gt;0,1,0)</formula>
    </cfRule>
    <cfRule type="expression" dxfId="72" priority="1123">
      <formula>IF(VLOOKUP($GS$3,optionalAttributePTDMap,MATCH($A14,attributeMapFeedProductType,0)+1,FALSE)&gt;0,1,0)</formula>
    </cfRule>
    <cfRule type="expression" dxfId="71" priority="1124">
      <formula>IF(VLOOKUP($GS$3,preferredAttributePTDMap,MATCH($A14,attributeMapFeedProductType,0)+1,FALSE)&gt;0,1,0)</formula>
    </cfRule>
    <cfRule type="expression" dxfId="70" priority="1125">
      <formula>AND(IF(IFERROR(VLOOKUP($GS$3,requiredAttributePTDMap,MATCH($A14,attributeMapFeedProductType,0)+1,FALSE),0)&gt;0,0,1),IF(IFERROR(VLOOKUP($GS$3,optionalAttributePTDMap,MATCH($A14,attributeMapFeedProductType,0)+1,FALSE),0)&gt;0,0,1),IF(IFERROR(VLOOKUP($GS$3,preferredAttributePTDMap,MATCH($A14,attributeMapFeedProductType,0)+1,FALSE),0)&gt;0,0,1),IF(IFERROR(MATCH($A14,attributeMapFeedProductType,0),0)&gt;0,1,0))</formula>
    </cfRule>
  </conditionalFormatting>
  <conditionalFormatting sqref="GT14:GT17">
    <cfRule type="expression" dxfId="69" priority="1126">
      <formula>IF(LEN(GT14)&gt;0,1,0)</formula>
    </cfRule>
    <cfRule type="expression" dxfId="68" priority="1127">
      <formula>IF(VLOOKUP($GT$3,requiredAttributePTDMap,MATCH($A14,attributeMapFeedProductType,0)+1,FALSE)&gt;0,1,0)</formula>
    </cfRule>
    <cfRule type="expression" dxfId="67" priority="1128">
      <formula>IF(VLOOKUP($GT$3,optionalAttributePTDMap,MATCH($A14,attributeMapFeedProductType,0)+1,FALSE)&gt;0,1,0)</formula>
    </cfRule>
    <cfRule type="expression" dxfId="66" priority="1129">
      <formula>IF(VLOOKUP($GT$3,preferredAttributePTDMap,MATCH($A14,attributeMapFeedProductType,0)+1,FALSE)&gt;0,1,0)</formula>
    </cfRule>
    <cfRule type="expression" dxfId="65" priority="1130">
      <formula>AND(IF(IFERROR(VLOOKUP($GT$3,requiredAttributePTDMap,MATCH($A14,attributeMapFeedProductType,0)+1,FALSE),0)&gt;0,0,1),IF(IFERROR(VLOOKUP($GT$3,optionalAttributePTDMap,MATCH($A14,attributeMapFeedProductType,0)+1,FALSE),0)&gt;0,0,1),IF(IFERROR(VLOOKUP($GT$3,preferredAttributePTDMap,MATCH($A14,attributeMapFeedProductType,0)+1,FALSE),0)&gt;0,0,1),IF(IFERROR(MATCH($A14,attributeMapFeedProductType,0),0)&gt;0,1,0))</formula>
    </cfRule>
  </conditionalFormatting>
  <conditionalFormatting sqref="GU14:GU17">
    <cfRule type="expression" dxfId="64" priority="1131">
      <formula>IF(LEN(GU14)&gt;0,1,0)</formula>
    </cfRule>
    <cfRule type="expression" dxfId="63" priority="1132">
      <formula>IF(VLOOKUP($GU$3,requiredAttributePTDMap,MATCH($A14,attributeMapFeedProductType,0)+1,FALSE)&gt;0,1,0)</formula>
    </cfRule>
    <cfRule type="expression" dxfId="62" priority="1133">
      <formula>IF(VLOOKUP($GU$3,optionalAttributePTDMap,MATCH($A14,attributeMapFeedProductType,0)+1,FALSE)&gt;0,1,0)</formula>
    </cfRule>
    <cfRule type="expression" dxfId="61" priority="1134">
      <formula>IF(VLOOKUP($GU$3,preferredAttributePTDMap,MATCH($A14,attributeMapFeedProductType,0)+1,FALSE)&gt;0,1,0)</formula>
    </cfRule>
    <cfRule type="expression" dxfId="60" priority="1135">
      <formula>AND(IF(IFERROR(VLOOKUP($GU$3,requiredAttributePTDMap,MATCH($A14,attributeMapFeedProductType,0)+1,FALSE),0)&gt;0,0,1),IF(IFERROR(VLOOKUP($GU$3,optionalAttributePTDMap,MATCH($A14,attributeMapFeedProductType,0)+1,FALSE),0)&gt;0,0,1),IF(IFERROR(VLOOKUP($GU$3,preferredAttributePTDMap,MATCH($A14,attributeMapFeedProductType,0)+1,FALSE),0)&gt;0,0,1),IF(IFERROR(MATCH($A14,attributeMapFeedProductType,0),0)&gt;0,1,0))</formula>
    </cfRule>
  </conditionalFormatting>
  <conditionalFormatting sqref="GV14:GV17">
    <cfRule type="expression" dxfId="59" priority="1136">
      <formula>IF(LEN(GV14)&gt;0,1,0)</formula>
    </cfRule>
    <cfRule type="expression" dxfId="58" priority="1137">
      <formula>IF(VLOOKUP($GV$3,requiredAttributePTDMap,MATCH($A14,attributeMapFeedProductType,0)+1,FALSE)&gt;0,1,0)</formula>
    </cfRule>
    <cfRule type="expression" dxfId="57" priority="1138">
      <formula>IF(VLOOKUP($GV$3,optionalAttributePTDMap,MATCH($A14,attributeMapFeedProductType,0)+1,FALSE)&gt;0,1,0)</formula>
    </cfRule>
    <cfRule type="expression" dxfId="56" priority="1139">
      <formula>IF(VLOOKUP($GV$3,preferredAttributePTDMap,MATCH($A14,attributeMapFeedProductType,0)+1,FALSE)&gt;0,1,0)</formula>
    </cfRule>
    <cfRule type="expression" dxfId="55" priority="1140">
      <formula>AND(IF(IFERROR(VLOOKUP($GV$3,requiredAttributePTDMap,MATCH($A14,attributeMapFeedProductType,0)+1,FALSE),0)&gt;0,0,1),IF(IFERROR(VLOOKUP($GV$3,optionalAttributePTDMap,MATCH($A14,attributeMapFeedProductType,0)+1,FALSE),0)&gt;0,0,1),IF(IFERROR(VLOOKUP($GV$3,preferredAttributePTDMap,MATCH($A14,attributeMapFeedProductType,0)+1,FALSE),0)&gt;0,0,1),IF(IFERROR(MATCH($A14,attributeMapFeedProductType,0),0)&gt;0,1,0))</formula>
    </cfRule>
  </conditionalFormatting>
  <conditionalFormatting sqref="GW14:GW17">
    <cfRule type="expression" dxfId="54" priority="1141">
      <formula>IF(LEN(GW14)&gt;0,1,0)</formula>
    </cfRule>
    <cfRule type="expression" dxfId="53" priority="1142">
      <formula>IF(VLOOKUP($GW$3,requiredAttributePTDMap,MATCH($A14,attributeMapFeedProductType,0)+1,FALSE)&gt;0,1,0)</formula>
    </cfRule>
    <cfRule type="expression" dxfId="52" priority="1143">
      <formula>IF(VLOOKUP($GW$3,optionalAttributePTDMap,MATCH($A14,attributeMapFeedProductType,0)+1,FALSE)&gt;0,1,0)</formula>
    </cfRule>
    <cfRule type="expression" dxfId="51" priority="1144">
      <formula>IF(VLOOKUP($GW$3,preferredAttributePTDMap,MATCH($A14,attributeMapFeedProductType,0)+1,FALSE)&gt;0,1,0)</formula>
    </cfRule>
    <cfRule type="expression" dxfId="50" priority="1145">
      <formula>AND(IF(IFERROR(VLOOKUP($GW$3,requiredAttributePTDMap,MATCH($A14,attributeMapFeedProductType,0)+1,FALSE),0)&gt;0,0,1),IF(IFERROR(VLOOKUP($GW$3,optionalAttributePTDMap,MATCH($A14,attributeMapFeedProductType,0)+1,FALSE),0)&gt;0,0,1),IF(IFERROR(VLOOKUP($GW$3,preferredAttributePTDMap,MATCH($A14,attributeMapFeedProductType,0)+1,FALSE),0)&gt;0,0,1),IF(IFERROR(MATCH($A14,attributeMapFeedProductType,0),0)&gt;0,1,0))</formula>
    </cfRule>
  </conditionalFormatting>
  <conditionalFormatting sqref="E14">
    <cfRule type="expression" dxfId="49" priority="56">
      <formula>IF(LEN(E14)&gt;0,1,0)</formula>
    </cfRule>
    <cfRule type="expression" dxfId="48" priority="57">
      <formula>IF(VLOOKUP($C$3,requiredAttributePTDMap,MATCH($A14,attributeMapFeedProductType,0)+1,FALSE)&gt;0,1,0)</formula>
    </cfRule>
    <cfRule type="expression" dxfId="47" priority="58">
      <formula>IF(VLOOKUP($C$3,optionalAttributePTDMap,MATCH($A14,attributeMapFeedProductType,0)+1,FALSE)&gt;0,1,0)</formula>
    </cfRule>
    <cfRule type="expression" dxfId="46" priority="59">
      <formula>IF(VLOOKUP($C$3,preferredAttributePTDMap,MATCH($A14,attributeMapFeedProductType,0)+1,FALSE)&gt;0,1,0)</formula>
    </cfRule>
    <cfRule type="expression" dxfId="45" priority="60">
      <formula>AND(IF(IFERROR(VLOOKUP($C$3,requiredAttributePTDMap,MATCH($A14,attributeMapFeedProductType,0)+1,FALSE),0)&gt;0,0,1),IF(IFERROR(VLOOKUP($C$3,optionalAttributePTDMap,MATCH($A14,attributeMapFeedProductType,0)+1,FALSE),0)&gt;0,0,1),IF(IFERROR(VLOOKUP($C$3,preferredAttributePTDMap,MATCH($A14,attributeMapFeedProductType,0)+1,FALSE),0)&gt;0,0,1),IF(IFERROR(MATCH($A14,attributeMapFeedProductType,0),0)&gt;0,1,0))</formula>
    </cfRule>
  </conditionalFormatting>
  <conditionalFormatting sqref="E16">
    <cfRule type="expression" dxfId="44" priority="51">
      <formula>IF(LEN(E16)&gt;0,1,0)</formula>
    </cfRule>
    <cfRule type="expression" dxfId="43" priority="52">
      <formula>IF(VLOOKUP($C$3,requiredAttributePTDMap,MATCH($A16,attributeMapFeedProductType,0)+1,FALSE)&gt;0,1,0)</formula>
    </cfRule>
    <cfRule type="expression" dxfId="42" priority="53">
      <formula>IF(VLOOKUP($C$3,optionalAttributePTDMap,MATCH($A16,attributeMapFeedProductType,0)+1,FALSE)&gt;0,1,0)</formula>
    </cfRule>
    <cfRule type="expression" dxfId="41" priority="54">
      <formula>IF(VLOOKUP($C$3,preferredAttributePTDMap,MATCH($A16,attributeMapFeedProductType,0)+1,FALSE)&gt;0,1,0)</formula>
    </cfRule>
    <cfRule type="expression" dxfId="40" priority="55">
      <formula>AND(IF(IFERROR(VLOOKUP($C$3,requiredAttributePTDMap,MATCH($A16,attributeMapFeedProductType,0)+1,FALSE),0)&gt;0,0,1),IF(IFERROR(VLOOKUP($C$3,optionalAttributePTDMap,MATCH($A16,attributeMapFeedProductType,0)+1,FALSE),0)&gt;0,0,1),IF(IFERROR(VLOOKUP($C$3,preferredAttributePTDMap,MATCH($A16,attributeMapFeedProductType,0)+1,FALSE),0)&gt;0,0,1),IF(IFERROR(MATCH($A16,attributeMapFeedProductType,0),0)&gt;0,1,0))</formula>
    </cfRule>
  </conditionalFormatting>
  <conditionalFormatting sqref="E15">
    <cfRule type="expression" dxfId="39" priority="46">
      <formula>IF(LEN(E15)&gt;0,1,0)</formula>
    </cfRule>
    <cfRule type="expression" dxfId="38" priority="47">
      <formula>IF(VLOOKUP($C$3,requiredAttributePTDMap,MATCH($A15,attributeMapFeedProductType,0)+1,FALSE)&gt;0,1,0)</formula>
    </cfRule>
    <cfRule type="expression" dxfId="37" priority="48">
      <formula>IF(VLOOKUP($C$3,optionalAttributePTDMap,MATCH($A15,attributeMapFeedProductType,0)+1,FALSE)&gt;0,1,0)</formula>
    </cfRule>
    <cfRule type="expression" dxfId="36" priority="49">
      <formula>IF(VLOOKUP($C$3,preferredAttributePTDMap,MATCH($A15,attributeMapFeedProductType,0)+1,FALSE)&gt;0,1,0)</formula>
    </cfRule>
    <cfRule type="expression" dxfId="35" priority="50">
      <formula>AND(IF(IFERROR(VLOOKUP($C$3,requiredAttributePTDMap,MATCH($A15,attributeMapFeedProductType,0)+1,FALSE),0)&gt;0,0,1),IF(IFERROR(VLOOKUP($C$3,optionalAttributePTDMap,MATCH($A15,attributeMapFeedProductType,0)+1,FALSE),0)&gt;0,0,1),IF(IFERROR(VLOOKUP($C$3,preferredAttributePTDMap,MATCH($A15,attributeMapFeedProductType,0)+1,FALSE),0)&gt;0,0,1),IF(IFERROR(MATCH($A15,attributeMapFeedProductType,0),0)&gt;0,1,0))</formula>
    </cfRule>
  </conditionalFormatting>
  <conditionalFormatting sqref="E17">
    <cfRule type="expression" dxfId="34" priority="41">
      <formula>IF(LEN(E17)&gt;0,1,0)</formula>
    </cfRule>
    <cfRule type="expression" dxfId="33" priority="42">
      <formula>IF(VLOOKUP($C$3,requiredAttributePTDMap,MATCH($A17,attributeMapFeedProductType,0)+1,FALSE)&gt;0,1,0)</formula>
    </cfRule>
    <cfRule type="expression" dxfId="32" priority="43">
      <formula>IF(VLOOKUP($C$3,optionalAttributePTDMap,MATCH($A17,attributeMapFeedProductType,0)+1,FALSE)&gt;0,1,0)</formula>
    </cfRule>
    <cfRule type="expression" dxfId="31" priority="44">
      <formula>IF(VLOOKUP($C$3,preferredAttributePTDMap,MATCH($A17,attributeMapFeedProductType,0)+1,FALSE)&gt;0,1,0)</formula>
    </cfRule>
    <cfRule type="expression" dxfId="30" priority="45">
      <formula>AND(IF(IFERROR(VLOOKUP($C$3,requiredAttributePTDMap,MATCH($A17,attributeMapFeedProductType,0)+1,FALSE),0)&gt;0,0,1),IF(IFERROR(VLOOKUP($C$3,optionalAttributePTDMap,MATCH($A17,attributeMapFeedProductType,0)+1,FALSE),0)&gt;0,0,1),IF(IFERROR(VLOOKUP($C$3,preferredAttributePTDMap,MATCH($A17,attributeMapFeedProductType,0)+1,FALSE),0)&gt;0,0,1),IF(IFERROR(MATCH($A17,attributeMapFeedProductType,0),0)&gt;0,1,0))</formula>
    </cfRule>
  </conditionalFormatting>
  <conditionalFormatting sqref="B14:B17">
    <cfRule type="expression" dxfId="29" priority="26">
      <formula>IF(LEN(B14)&gt;0,1,0)</formula>
    </cfRule>
    <cfRule type="expression" dxfId="28" priority="27">
      <formula>IF(VLOOKUP($B$3,requiredAttributePTDMap,MATCH($A14,attributeMapFeedProductType,0)+1,FALSE)&gt;0,1,0)</formula>
    </cfRule>
    <cfRule type="expression" dxfId="27" priority="28">
      <formula>IF(VLOOKUP($B$3,optionalAttributePTDMap,MATCH($A14,attributeMapFeedProductType,0)+1,FALSE)&gt;0,1,0)</formula>
    </cfRule>
    <cfRule type="expression" dxfId="26" priority="29">
      <formula>IF(VLOOKUP($B$3,preferredAttributePTDMap,MATCH($A14,attributeMapFeedProductType,0)+1,FALSE)&gt;0,1,0)</formula>
    </cfRule>
    <cfRule type="expression" dxfId="25" priority="30">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onditionalFormatting>
  <conditionalFormatting sqref="U9:U12">
    <cfRule type="expression" dxfId="24" priority="21">
      <formula>IF(LEN(U9)&gt;0,1,0)</formula>
    </cfRule>
    <cfRule type="expression" dxfId="23" priority="22">
      <formula>IF(VLOOKUP($B$3,requiredAttributePTDMap,MATCH($A9,attributeMapFeedProductType,0)+1,FALSE)&gt;0,1,0)</formula>
    </cfRule>
    <cfRule type="expression" dxfId="22" priority="23">
      <formula>IF(VLOOKUP($B$3,optionalAttributePTDMap,MATCH($A9,attributeMapFeedProductType,0)+1,FALSE)&gt;0,1,0)</formula>
    </cfRule>
    <cfRule type="expression" dxfId="21" priority="24">
      <formula>IF(VLOOKUP($B$3,preferredAttributePTDMap,MATCH($A9,attributeMapFeedProductType,0)+1,FALSE)&gt;0,1,0)</formula>
    </cfRule>
    <cfRule type="expression" dxfId="20" priority="25">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U14:U17">
    <cfRule type="expression" dxfId="19" priority="16">
      <formula>IF(LEN(U14)&gt;0,1,0)</formula>
    </cfRule>
    <cfRule type="expression" dxfId="18" priority="17">
      <formula>IF(VLOOKUP($B$3,requiredAttributePTDMap,MATCH($A14,attributeMapFeedProductType,0)+1,FALSE)&gt;0,1,0)</formula>
    </cfRule>
    <cfRule type="expression" dxfId="17" priority="18">
      <formula>IF(VLOOKUP($B$3,optionalAttributePTDMap,MATCH($A14,attributeMapFeedProductType,0)+1,FALSE)&gt;0,1,0)</formula>
    </cfRule>
    <cfRule type="expression" dxfId="16" priority="19">
      <formula>IF(VLOOKUP($B$3,preferredAttributePTDMap,MATCH($A14,attributeMapFeedProductType,0)+1,FALSE)&gt;0,1,0)</formula>
    </cfRule>
    <cfRule type="expression" dxfId="15" priority="20">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onditionalFormatting>
  <conditionalFormatting sqref="AJ9:AJ12">
    <cfRule type="expression" dxfId="14" priority="11">
      <formula>IF(LEN(AJ9)&gt;0,1,0)</formula>
    </cfRule>
    <cfRule type="expression" dxfId="13" priority="12">
      <formula>IF(VLOOKUP($D$3,requiredAttributePTDMap,MATCH($A9,attributeMapFeedProductType,0)+1,FALSE)&gt;0,1,0)</formula>
    </cfRule>
    <cfRule type="expression" dxfId="12" priority="13">
      <formula>IF(VLOOKUP($D$3,optionalAttributePTDMap,MATCH($A9,attributeMapFeedProductType,0)+1,FALSE)&gt;0,1,0)</formula>
    </cfRule>
    <cfRule type="expression" dxfId="11" priority="14">
      <formula>IF(VLOOKUP($D$3,preferredAttributePTDMap,MATCH($A9,attributeMapFeedProductType,0)+1,FALSE)&gt;0,1,0)</formula>
    </cfRule>
    <cfRule type="expression" dxfId="10" priority="15">
      <formula>AND(IF(IFERROR(VLOOKUP($D$3,requiredAttributePTDMap,MATCH($A9,attributeMapFeedProductType,0)+1,FALSE),0)&gt;0,0,1),IF(IFERROR(VLOOKUP($D$3,optionalAttributePTDMap,MATCH($A9,attributeMapFeedProductType,0)+1,FALSE),0)&gt;0,0,1),IF(IFERROR(VLOOKUP($D$3,preferredAttributePTDMap,MATCH($A9,attributeMapFeedProductType,0)+1,FALSE),0)&gt;0,0,1),IF(IFERROR(MATCH($A9,attributeMapFeedProductType,0),0)&gt;0,1,0))</formula>
    </cfRule>
  </conditionalFormatting>
  <conditionalFormatting sqref="D14:D17">
    <cfRule type="expression" dxfId="9" priority="6">
      <formula>IF(LEN(D14)&gt;0,1,0)</formula>
    </cfRule>
    <cfRule type="expression" dxfId="8" priority="7">
      <formula>IF(VLOOKUP($J$3,requiredAttributePTDMap,MATCH($A14,attributeMapFeedProductType,0)+1,FALSE)&gt;0,1,0)</formula>
    </cfRule>
    <cfRule type="expression" dxfId="7" priority="8">
      <formula>IF(VLOOKUP($J$3,optionalAttributePTDMap,MATCH($A14,attributeMapFeedProductType,0)+1,FALSE)&gt;0,1,0)</formula>
    </cfRule>
    <cfRule type="expression" dxfId="6" priority="9">
      <formula>IF(VLOOKUP($J$3,preferredAttributePTDMap,MATCH($A14,attributeMapFeedProductType,0)+1,FALSE)&gt;0,1,0)</formula>
    </cfRule>
    <cfRule type="expression" dxfId="5" priority="10">
      <formula>AND(IF(IFERROR(VLOOKUP($J$3,requiredAttributePTDMap,MATCH($A14,attributeMapFeedProductType,0)+1,FALSE),0)&gt;0,0,1),IF(IFERROR(VLOOKUP($J$3,optionalAttributePTDMap,MATCH($A14,attributeMapFeedProductType,0)+1,FALSE),0)&gt;0,0,1),IF(IFERROR(VLOOKUP($J$3,preferredAttributePTDMap,MATCH($A14,attributeMapFeedProductType,0)+1,FALSE),0)&gt;0,0,1),IF(IFERROR(MATCH($A14,attributeMapFeedProductType,0),0)&gt;0,1,0))</formula>
    </cfRule>
  </conditionalFormatting>
  <conditionalFormatting sqref="AJ14:AJ17">
    <cfRule type="expression" dxfId="4" priority="1">
      <formula>IF(LEN(AJ14)&gt;0,1,0)</formula>
    </cfRule>
    <cfRule type="expression" dxfId="3" priority="2">
      <formula>IF(VLOOKUP($J$3,requiredAttributePTDMap,MATCH($A14,attributeMapFeedProductType,0)+1,FALSE)&gt;0,1,0)</formula>
    </cfRule>
    <cfRule type="expression" dxfId="2" priority="3">
      <formula>IF(VLOOKUP($J$3,optionalAttributePTDMap,MATCH($A14,attributeMapFeedProductType,0)+1,FALSE)&gt;0,1,0)</formula>
    </cfRule>
    <cfRule type="expression" dxfId="1" priority="4">
      <formula>IF(VLOOKUP($J$3,preferredAttributePTDMap,MATCH($A14,attributeMapFeedProductType,0)+1,FALSE)&gt;0,1,0)</formula>
    </cfRule>
    <cfRule type="expression" dxfId="0" priority="5">
      <formula>AND(IF(IFERROR(VLOOKUP($J$3,requiredAttributePTDMap,MATCH($A14,attributeMapFeedProductType,0)+1,FALSE),0)&gt;0,0,1),IF(IFERROR(VLOOKUP($J$3,optionalAttributePTDMap,MATCH($A14,attributeMapFeedProductType,0)+1,FALSE),0)&gt;0,0,1),IF(IFERROR(VLOOKUP($J$3,preferredAttributePTDMap,MATCH($A14,attributeMapFeedProductType,0)+1,FALSE),0)&gt;0,0,1),IF(IFERROR(MATCH($A14,attributeMapFeedProductType,0),0)&gt;0,1,0))</formula>
    </cfRule>
  </conditionalFormatting>
  <dataValidations count="410">
    <dataValidation type="list" allowBlank="1" showInputMessage="1" sqref="A4:A1048576">
      <formula1>feed_product_type</formula1>
    </dataValidation>
    <dataValidation allowBlank="1" showInputMessage="1" prompt="Input an approprate product type." sqref="A3"/>
    <dataValidation allowBlank="1" showInputMessage="1" sqref="B4:B1048576"/>
    <dataValidation allowBlank="1" showInputMessage="1" prompt="Unique Identifier." sqref="B3"/>
    <dataValidation allowBlank="1" showInputMessage="1" sqref="C4:C1048576"/>
    <dataValidation allowBlank="1" showInputMessage="1" prompt="An alphanumeric string; 50 characters maximum." sqref="C3"/>
    <dataValidation allowBlank="1" showInputMessage="1" sqref="D4:D1048576"/>
    <dataValidation allowBlank="1" showInputMessage="1" prompt="An alphanumeric string; 1 character minimum in length and 100 characters maximum in length. Note: Type 1 High ASCII characters (®, ©, ™, etc.) or other special characters are not supported." sqref="D3"/>
    <dataValidation allowBlank="1" showInputMessage="1" sqref="E4:E1048576"/>
    <dataValidation allowBlank="1" showInputMessage="1" prompt="An alphanumeric string; 50 characters maximum." sqref="E3"/>
    <dataValidation allowBlank="1" showInputMessage="1" sqref="F4:F1048576"/>
    <dataValidation allowBlank="1" showInputMessage="1" prompt="Any valid GCID, UPC, or EAN." sqref="F3"/>
    <dataValidation type="list" allowBlank="1" showInputMessage="1" sqref="G4:G1048576">
      <formula1>INDIRECT(SUBSTITUTE(A4,"-","_")&amp;"external_product_id_type")</formula1>
    </dataValidation>
    <dataValidation allowBlank="1" showInputMessage="1" prompt="The type of standard, unique identifier entered in the Product ID field. This is a required field if Product ID is provided." sqref="G3"/>
    <dataValidation type="list" allowBlank="1" showInputMessage="1" sqref="H4:H1048576">
      <formula1>INDIRECT(SUBSTITUTE(A4,"-","_")&amp;"item_type")</formula1>
    </dataValidation>
    <dataValidation allowBlank="1" showInputMessage="1" prompt="Please refer to the  Browse Tree Guide (BTG)." sqref="H3"/>
    <dataValidation allowBlank="1" showInputMessage="1" sqref="I4:I1048576"/>
    <dataValidation allowBlank="1" showInputMessage="1" prompt="A whole number." sqref="I3"/>
    <dataValidation allowBlank="1" showInputMessage="1" sqref="J4:J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J3"/>
    <dataValidation allowBlank="1" showInputMessage="1" sqref="K4:K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K3"/>
    <dataValidation allowBlank="1" showInputMessage="1" sqref="L4:L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L3"/>
    <dataValidation allowBlank="1" showInputMessage="1" sqref="M4:M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M3"/>
    <dataValidation allowBlank="1" showInputMessage="1" sqref="N4:N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N3"/>
    <dataValidation allowBlank="1" showInputMessage="1" sqref="O4:O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O3"/>
    <dataValidation allowBlank="1" showInputMessage="1" sqref="P4:P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P3"/>
    <dataValidation allowBlank="1" showInputMessage="1" sqref="Q4:Q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Q3"/>
    <dataValidation allowBlank="1" showInputMessage="1" sqref="R4:R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R3"/>
    <dataValidation allowBlank="1" showInputMessage="1" sqref="S4:S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S3"/>
    <dataValidation type="list" allowBlank="1" showInputMessage="1" sqref="T4:T1048576">
      <formula1>INDIRECT(SUBSTITUTE(A4,"-","_")&amp;"parent_child")</formula1>
    </dataValidation>
    <dataValidation allowBlank="1" showInputMessage="1" prompt="Please select one of the following values: parent, child" sqref="T3"/>
    <dataValidation allowBlank="1" showInputMessage="1" sqref="U4:U1048576"/>
    <dataValidation allowBlank="1" showInputMessage="1" prompt="An alphanumeric string; 1 character minimum in length and 40 characters maximum in length." sqref="U3"/>
    <dataValidation type="list" allowBlank="1" showInputMessage="1" sqref="V4:V1048576">
      <formula1>INDIRECT(SUBSTITUTE(A4,"-","_")&amp;"relationship_type")</formula1>
    </dataValidation>
    <dataValidation allowBlank="1" showInputMessage="1" prompt="Select one of the following options: _x000a_Accessory                                                                      Variation" sqref="V3"/>
    <dataValidation type="list" allowBlank="1" showInputMessage="1" sqref="W4:W1048576">
      <formula1>INDIRECT(SUBSTITUTE(A4,"-","_")&amp;"variation_theme")</formula1>
    </dataValidation>
    <dataValidation allowBlank="1" showInputMessage="1" prompt="Select and applicable variation theme." sqref="W3"/>
    <dataValidation type="list" allowBlank="1" showInputMessage="1" sqref="X4:X1048576">
      <formula1>INDIRECT(SUBSTITUTE(A4,"-","_")&amp;"update_delete")</formula1>
    </dataValidation>
    <dataValidation allowBlank="1" showInputMessage="1" prompt="Select one of the following options: Update, PartialUpdate, or Delete." sqref="X3"/>
    <dataValidation type="list" allowBlank="1" showInputMessage="1" sqref="Y4:Y1048576">
      <formula1>INDIRECT(SUBSTITUTE(A4,"-","_")&amp;"gtin_exemption_reason")</formula1>
    </dataValidation>
    <dataValidation allowBlank="1" showInputMessage="1" prompt="Reason for getting an exemption from having an unique identifier for an item. " sqref="Y3"/>
    <dataValidation allowBlank="1" showInputMessage="1" sqref="Z4:Z1048576"/>
    <dataValidation allowBlank="1" showInputMessage="1" prompt="A text string; 2000 characters maximum in length. Note: Type 1 High ASCII characters (®, ©, ™, etc.) or other special characters are not supported." sqref="Z3"/>
    <dataValidation allowBlank="1" showInputMessage="1" sqref="AA4:AA1048576"/>
    <dataValidation allowBlank="1" showInputMessage="1" prompt="An alphanumeric string; 40 characters maximum." sqref="AA3"/>
    <dataValidation allowBlank="1" showInputMessage="1" sqref="AB4:AB1048576"/>
    <dataValidation allowBlank="1" showInputMessage="1" prompt="An alphanumeric string; 100 characters maximum length. Note: Type 1 High ASCII characters (®, ©, ™, etc.) or other special characters are not supported." sqref="AB3"/>
    <dataValidation allowBlank="1" showInputMessage="1" sqref="AC4:AC1048576"/>
    <dataValidation allowBlank="1" showInputMessage="1" prompt="An alphanumeric string; 1 character minimum in length and 50 characters maximum in length." sqref="AC3"/>
    <dataValidation allowBlank="1" showInputMessage="1" sqref="AD4:AD1048576"/>
    <dataValidation allowBlank="1" showInputMessage="1" prompt="Provide instructions related to how to care for the item" sqref="AD3"/>
    <dataValidation allowBlank="1" showInputMessage="1" sqref="AE4:AE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E3"/>
    <dataValidation allowBlank="1" showInputMessage="1" sqref="AF4:AF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F3"/>
    <dataValidation allowBlank="1" showInputMessage="1" sqref="AG4:AG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G3"/>
    <dataValidation allowBlank="1" showInputMessage="1" sqref="AH4:AH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H3"/>
    <dataValidation allowBlank="1" showInputMessage="1" sqref="AI4:AI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I3"/>
    <dataValidation allowBlank="1" showInputMessage="1" sqref="AJ4:AJ1048576"/>
    <dataValidation allowBlank="1" showInputMessage="1" prompt="Search terms that describe your product: no repetition, no competitor brand names or ASINs." sqref="AJ3"/>
    <dataValidation type="list" allowBlank="1" showInputMessage="1" sqref="AK4:AK1048576">
      <formula1>INDIRECT(SUBSTITUTE(A4,"-","_")&amp;"country_as_labeled")</formula1>
    </dataValidation>
    <dataValidation allowBlank="1" showInputMessage="1" prompt="Complete only if Import Designation is “Imported.” Select country shown on product label." sqref="AK3"/>
    <dataValidation allowBlank="1" showInputMessage="1" sqref="AL4:AL1048576"/>
    <dataValidation allowBlank="1" showInputMessage="1" prompt="A positive whole number" sqref="AL3"/>
    <dataValidation type="list" allowBlank="1" showInputMessage="1" sqref="AM4:AM1048576">
      <formula1>INDIRECT(SUBSTITUTE(A4,"-","_")&amp;"scent_name")</formula1>
    </dataValidation>
    <dataValidation allowBlank="1" showInputMessage="1" prompt="An alphanumeric text string; 50 characters maximum. If multiple scents are available, a unique record should be submitted for each product." sqref="AM3"/>
    <dataValidation type="list" allowBlank="1" showInputMessage="1" sqref="AN4:AN1048576">
      <formula1>INDIRECT(SUBSTITUTE(A4,"-","_")&amp;"included_components")</formula1>
    </dataValidation>
    <dataValidation allowBlank="1" showInputMessage="1" prompt="See Valid Values." sqref="AN3"/>
    <dataValidation allowBlank="1" showInputMessage="1" sqref="AO4:AO1048576"/>
    <dataValidation allowBlank="1" showInputMessage="1" prompt="An alphanumeric text string; 1 character minimum and 50 characters maximum." sqref="AO3"/>
    <dataValidation type="list" allowBlank="1" showInputMessage="1" sqref="AP4:AP1048576">
      <formula1>INDIRECT(SUBSTITUTE(A4,"-","_")&amp;"color_map")</formula1>
    </dataValidation>
    <dataValidation allowBlank="1" showInputMessage="1" prompt="See Valid Values." sqref="AP3"/>
    <dataValidation allowBlank="1" showInputMessage="1" sqref="AQ4:AQ1048576"/>
    <dataValidation allowBlank="1" showInputMessage="1" prompt="An alphanumeric text string; 1 character minimum and 50 characters maximum. Also See Valid Values." sqref="AQ3"/>
    <dataValidation type="list" allowBlank="1" showInputMessage="1" sqref="AR4:AR1048576">
      <formula1>INDIRECT(SUBSTITUTE(A4,"-","_")&amp;"material_type")</formula1>
    </dataValidation>
    <dataValidation allowBlank="1" showInputMessage="1" prompt="See Valid Values." sqref="AR3"/>
    <dataValidation allowBlank="1" showInputMessage="1" sqref="AS4:AS1048576"/>
    <dataValidation allowBlank="1" showInputMessage="1" prompt="A number with up to 10 digits allowed to the left of the decimal point and 2 digits to the right of the decimal point. Please do not use commas." sqref="AS3"/>
    <dataValidation type="list" allowBlank="1" showInputMessage="1" sqref="AT4:AT1048576">
      <formula1>INDIRECT(SUBSTITUTE(A4,"-","_")&amp;"special_features")</formula1>
    </dataValidation>
    <dataValidation allowBlank="1" showInputMessage="1" prompt="See Valid Values." sqref="AT3"/>
    <dataValidation type="list" allowBlank="1" showInputMessage="1" sqref="AU4:AU1048576">
      <formula1>INDIRECT(SUBSTITUTE(A4,"-","_")&amp;"special_features")</formula1>
    </dataValidation>
    <dataValidation allowBlank="1" showInputMessage="1" prompt="See Valid Values." sqref="AU3"/>
    <dataValidation type="list" allowBlank="1" showInputMessage="1" sqref="AV4:AV1048576">
      <formula1>INDIRECT(SUBSTITUTE(A4,"-","_")&amp;"special_features")</formula1>
    </dataValidation>
    <dataValidation allowBlank="1" showInputMessage="1" prompt="See Valid Values." sqref="AV3"/>
    <dataValidation type="list" allowBlank="1" showInputMessage="1" sqref="AW4:AW1048576">
      <formula1>INDIRECT(SUBSTITUTE(A4,"-","_")&amp;"special_features")</formula1>
    </dataValidation>
    <dataValidation allowBlank="1" showInputMessage="1" prompt="See Valid Values." sqref="AW3"/>
    <dataValidation type="list" allowBlank="1" showInputMessage="1" sqref="AX4:AX1048576">
      <formula1>INDIRECT(SUBSTITUTE(A4,"-","_")&amp;"special_features")</formula1>
    </dataValidation>
    <dataValidation allowBlank="1" showInputMessage="1" prompt="See Valid Values." sqref="AX3"/>
    <dataValidation type="list" allowBlank="1" showInputMessage="1" sqref="AY4:AY1048576">
      <formula1>INDIRECT(SUBSTITUTE(A4,"-","_")&amp;"pattern_name")</formula1>
    </dataValidation>
    <dataValidation allowBlank="1" showInputMessage="1" prompt="Select from the list of valid values." sqref="AY3"/>
    <dataValidation type="list" allowBlank="1" showInputMessage="1" sqref="AZ4:AZ1048576">
      <formula1>INDIRECT(SUBSTITUTE(A4,"-","_")&amp;"seasons")</formula1>
    </dataValidation>
    <dataValidation allowBlank="1" showInputMessage="1" prompt="Select from the list of valid values." sqref="AZ3"/>
    <dataValidation type="list" allowBlank="1" showInputMessage="1" sqref="BA4:BA1048576">
      <formula1>INDIRECT(SUBSTITUTE(A4,"-","_")&amp;"seasons")</formula1>
    </dataValidation>
    <dataValidation allowBlank="1" showInputMessage="1" prompt="Select from the list of valid values." sqref="BA3"/>
    <dataValidation type="list" allowBlank="1" showInputMessage="1" sqref="BB4:BB1048576">
      <formula1>INDIRECT(SUBSTITUTE(A4,"-","_")&amp;"seasons")</formula1>
    </dataValidation>
    <dataValidation allowBlank="1" showInputMessage="1" prompt="Select from the list of valid values." sqref="BB3"/>
    <dataValidation type="list" allowBlank="1" showInputMessage="1" sqref="BC4:BC1048576">
      <formula1>INDIRECT(SUBSTITUTE(A4,"-","_")&amp;"seasons")</formula1>
    </dataValidation>
    <dataValidation allowBlank="1" showInputMessage="1" prompt="Select from the list of valid values." sqref="BC3"/>
    <dataValidation allowBlank="1" showInputMessage="1" sqref="BD4:BD1048576"/>
    <dataValidation allowBlank="1" showInputMessage="1" prompt="Input an appropriate item type." sqref="BD3"/>
    <dataValidation type="list" allowBlank="1" showInputMessage="1" sqref="BE4:BE1048576">
      <formula1>INDIRECT(SUBSTITUTE(A4,"-","_")&amp;"wattage_unit_of_measure")</formula1>
    </dataValidation>
    <dataValidation allowBlank="1" showInputMessage="1" prompt="Select from the list of valid values." sqref="BE3"/>
    <dataValidation allowBlank="1" showInputMessage="1" sqref="BF4:BF1048576"/>
    <dataValidation allowBlank="1" showInputMessage="1" prompt="An alphanumeric text string; 1 character minimum and 20 characters maximum." sqref="BF3"/>
    <dataValidation type="list" allowBlank="1" showInputMessage="1" sqref="BG4:BG1048576">
      <formula1>INDIRECT(SUBSTITUTE(A4,"-","_")&amp;"is_assembly_required")</formula1>
    </dataValidation>
    <dataValidation allowBlank="1" showInputMessage="1" prompt="Select: true or false" sqref="BG3"/>
    <dataValidation allowBlank="1" showInputMessage="1" sqref="BH4:BH1048576"/>
    <dataValidation allowBlank="1" showInputMessage="1" prompt="Provide the number of shelves associated with the item" sqref="BH3"/>
    <dataValidation allowBlank="1" showInputMessage="1" sqref="BI4:BI1048576"/>
    <dataValidation allowBlank="1" showInputMessage="1" prompt="Provide the number of boxes that the product will be shipped in" sqref="BI3"/>
    <dataValidation allowBlank="1" showInputMessage="1" sqref="BJ4:BJ1048576"/>
    <dataValidation allowBlank="1" showInputMessage="1" prompt="Provide the number of compartments that the item has" sqref="BJ3"/>
    <dataValidation allowBlank="1" showInputMessage="1" sqref="BK4:BK1048576"/>
    <dataValidation allowBlank="1" showInputMessage="1" prompt="A positive whole number" sqref="BK3"/>
    <dataValidation type="list" allowBlank="1" showInputMessage="1" sqref="BL4:BL1048576">
      <formula1>INDIRECT(SUBSTITUTE(A4,"-","_")&amp;"item_shape")</formula1>
    </dataValidation>
    <dataValidation allowBlank="1" showInputMessage="1" prompt="See Valid Values." sqref="BL3"/>
    <dataValidation type="list" allowBlank="1" showInputMessage="1" sqref="BM4:BM1048576">
      <formula1>INDIRECT(SUBSTITUTE(A4,"-","_")&amp;"item_display_length_unit_of_measure")</formula1>
    </dataValidation>
    <dataValidation allowBlank="1" showInputMessage="1" prompt="Select from the list of valid values." sqref="BM3"/>
    <dataValidation type="list" allowBlank="1" showInputMessage="1" sqref="BN4:BN1048576">
      <formula1>INDIRECT(SUBSTITUTE(A4,"-","_")&amp;"item_display_width_unit_of_measure")</formula1>
    </dataValidation>
    <dataValidation allowBlank="1" showInputMessage="1" prompt="Select one of the following options: MM, CM, M, IN, FT" sqref="BN3"/>
    <dataValidation type="list" allowBlank="1" showInputMessage="1" sqref="BO4:BO1048576">
      <formula1>INDIRECT(SUBSTITUTE(A4,"-","_")&amp;"item_display_height_unit_of_measure")</formula1>
    </dataValidation>
    <dataValidation allowBlank="1" showInputMessage="1" prompt="Select from the following valid values: _x000a_IN_x000a_FT_x000a_MM_x000a_CM_x000a_M" sqref="BO3"/>
    <dataValidation allowBlank="1" showInputMessage="1" sqref="BP4:BP1048576"/>
    <dataValidation allowBlank="1" showInputMessage="1" prompt="A number with up to 10 digits to the left of the decimal point and 2 digits to the right of the decimal point. Please do not use commas." sqref="BP3"/>
    <dataValidation allowBlank="1" showInputMessage="1" sqref="BQ4:BQ1048576"/>
    <dataValidation allowBlank="1" showInputMessage="1" prompt="A number with up to 10 digits to the left of the decimal point and 2 digits to the right of the decimal point. Please do not use commas." sqref="BQ3"/>
    <dataValidation allowBlank="1" showInputMessage="1" sqref="BR4:BR1048576"/>
    <dataValidation allowBlank="1" showInputMessage="1" prompt="A number with up to 10 digits to the left of the decimal point and 2 digits to the right of the decimal point. Please do not use commas." sqref="BR3"/>
    <dataValidation allowBlank="1" showInputMessage="1" sqref="BS4:BS1048576"/>
    <dataValidation allowBlank="1" showInputMessage="1" prompt="A number with up to 10 digits to the left of the decimal point and 2 digits to the right of the decimal point. Please do not use commas." sqref="BS3"/>
    <dataValidation type="list" allowBlank="1" showInputMessage="1" sqref="BT4:BT1048576">
      <formula1>INDIRECT(SUBSTITUTE(A4,"-","_")&amp;"item_display_weight_unit_of_measure")</formula1>
    </dataValidation>
    <dataValidation allowBlank="1" showInputMessage="1" prompt="Select one of the following options: GR, KG, OZ, LB" sqref="BT3"/>
    <dataValidation allowBlank="1" showInputMessage="1" sqref="BU4:BU1048576"/>
    <dataValidation allowBlank="1" showInputMessage="1" prompt="A number with up to 10 digits allowed to the left of the decimal point and 2 digits to the right of the decimal point. Please do not use commas." sqref="BU3"/>
    <dataValidation allowBlank="1" showInputMessage="1" sqref="BV4:BV1048576"/>
    <dataValidation allowBlank="1" showInputMessage="1" prompt="A number with up to 2 decimal places. Please use a full stop (.) rather than a comma (,) for a decimal point" sqref="BV3"/>
    <dataValidation type="list" allowBlank="1" showInputMessage="1" sqref="BW4:BW1048576">
      <formula1>INDIRECT(SUBSTITUTE(A4,"-","_")&amp;"item_length_unit_of_measure")</formula1>
    </dataValidation>
    <dataValidation allowBlank="1" showInputMessage="1" prompt="Select from the list of valid values." sqref="BW3"/>
    <dataValidation allowBlank="1" showInputMessage="1" sqref="BX4:BX1048576"/>
    <dataValidation allowBlank="1" showInputMessage="1" prompt="A number with up to 2 decimal places. Please use a full stop (.) rather than a comma (,) for a decimal point" sqref="BX3"/>
    <dataValidation type="list" allowBlank="1" showInputMessage="1" sqref="BY4:BY1048576">
      <formula1>INDIRECT(SUBSTITUTE(A4,"-","_")&amp;"unit_count_type")</formula1>
    </dataValidation>
    <dataValidation allowBlank="1" showInputMessage="1" prompt="Select from the list of Valid Values" sqref="BY3"/>
    <dataValidation allowBlank="1" showInputMessage="1" sqref="BZ4:BZ1048576"/>
    <dataValidation allowBlank="1" showInputMessage="1" prompt="A whole positive number" sqref="BZ3"/>
    <dataValidation type="list" allowBlank="1" showInputMessage="1" sqref="CA4:CA1048576">
      <formula1>INDIRECT(SUBSTITUTE(A4,"-","_")&amp;"item_width_unit_of_measure")</formula1>
    </dataValidation>
    <dataValidation allowBlank="1" showInputMessage="1" prompt="Select from the following valid values: _x000a_IN_x000a_FT_x000a_MM_x000a_CM_x000a_M" sqref="CA3"/>
    <dataValidation type="list" allowBlank="1" showInputMessage="1" sqref="CB4:CB1048576">
      <formula1>INDIRECT(SUBSTITUTE(A4,"-","_")&amp;"fabric_weight_unit_of_measure")</formula1>
    </dataValidation>
    <dataValidation allowBlank="1" showInputMessage="1" prompt="Select the corresponding unit" sqref="CB3"/>
    <dataValidation type="list" allowBlank="1" showInputMessage="1" sqref="CC4:CC1048576">
      <formula1>INDIRECT(SUBSTITUTE(A4,"-","_")&amp;"size_map")</formula1>
    </dataValidation>
    <dataValidation allowBlank="1" showInputMessage="1" prompt="Please refer to the Sporting Goods Style Guide . An alphanumeric string; 50 characters maximum." sqref="CC3"/>
    <dataValidation allowBlank="1" showInputMessage="1" sqref="CD4:CD1048576"/>
    <dataValidation allowBlank="1" showInputMessage="1" prompt="An alphanumeric text string; 1 character minimum and 20 characters maximum." sqref="CD3"/>
    <dataValidation type="list" allowBlank="1" showInputMessage="1" sqref="CE4:CE1048576">
      <formula1>INDIRECT(SUBSTITUTE(A4,"-","_")&amp;"maximum_weight_recommendation_unit_of_measure")</formula1>
    </dataValidation>
    <dataValidation allowBlank="1" showInputMessage="1" prompt="Select one of the following options: GR, KG, OZ, or LB." sqref="CE3"/>
    <dataValidation type="list" allowBlank="1" showInputMessage="1" sqref="CF4:CF1048576">
      <formula1>INDIRECT(SUBSTITUTE(A4,"-","_")&amp;"item_height_unit_of_measure")</formula1>
    </dataValidation>
    <dataValidation allowBlank="1" showInputMessage="1" prompt="Select from the list of valid values." sqref="CF3"/>
    <dataValidation allowBlank="1" showInputMessage="1" sqref="CG4:CG1048576"/>
    <dataValidation allowBlank="1" showInputMessage="1" prompt="Provide the maximum weight recommendation as a numeric value" sqref="CG3"/>
    <dataValidation type="list" allowBlank="1" showInputMessage="1" sqref="CH4:CH1048576">
      <formula1>INDIRECT(SUBSTITUTE(A4,"-","_")&amp;"fulfillment_center_id")</formula1>
    </dataValidation>
    <dataValidation allowBlank="1" showInputMessage="1" prompt="AMAZON_NA, DEFAULT" sqref="CH3"/>
    <dataValidation allowBlank="1" showInputMessage="1" sqref="CI4:CI1048576"/>
    <dataValidation allowBlank="1" showInputMessage="1" prompt="A number with up to 10 digits to the left of the decimal point and 2 digits to the right of the decimal point." sqref="CI3"/>
    <dataValidation allowBlank="1" showInputMessage="1" sqref="CJ4:CJ1048576"/>
    <dataValidation allowBlank="1" showInputMessage="1" prompt="A number with up to 10 digits to the left of the decimal point and 2 digits to the right of the decimal point." sqref="CJ3"/>
    <dataValidation allowBlank="1" showInputMessage="1" sqref="CK4:CK1048576"/>
    <dataValidation allowBlank="1" showInputMessage="1" prompt="A number with up to 10 digits to the left of the decimal point and 2 digits to the right of the decimal point." sqref="CK3"/>
    <dataValidation type="list" allowBlank="1" showInputMessage="1" sqref="CL4:CL1048576">
      <formula1>INDIRECT(SUBSTITUTE(A4,"-","_")&amp;"package_length_unit_of_measure")</formula1>
    </dataValidation>
    <dataValidation allowBlank="1" showInputMessage="1" prompt="Select from the list of valid values" sqref="CL3"/>
    <dataValidation allowBlank="1" showInputMessage="1" sqref="CM4:CM1048576"/>
    <dataValidation allowBlank="1" showInputMessage="1" prompt="A number with up to 10 digits to the left of the decimal point and 2 digits to the right of the decimal point." sqref="CM3"/>
    <dataValidation type="list" allowBlank="1" showInputMessage="1" sqref="CN4:CN1048576">
      <formula1>INDIRECT(SUBSTITUTE(A4,"-","_")&amp;"package_weight_unit_of_measure")</formula1>
    </dataValidation>
    <dataValidation allowBlank="1" showInputMessage="1" prompt="Select one of the following options: _x000a_OZ, LB, GR, KG" sqref="CN3"/>
    <dataValidation type="list" allowBlank="1" showInputMessage="1" sqref="CO4:CO1048576">
      <formula1>INDIRECT(SUBSTITUTE(A4,"-","_")&amp;"package_height_unit_of_measure")</formula1>
    </dataValidation>
    <dataValidation allowBlank="1" showInputMessage="1" prompt="Select from the list of valid values" sqref="CO3"/>
    <dataValidation type="list" allowBlank="1" showInputMessage="1" sqref="CP4:CP1048576">
      <formula1>INDIRECT(SUBSTITUTE(A4,"-","_")&amp;"package_width_unit_of_measure")</formula1>
    </dataValidation>
    <dataValidation allowBlank="1" showInputMessage="1" prompt="Select from the list of valid values." sqref="CP3"/>
    <dataValidation allowBlank="1" showInputMessage="1" sqref="CQ4:CQ1048576"/>
    <dataValidation allowBlank="1" showInputMessage="1" prompt="A text string; 1500 characters maximum in length. Note: Type 1 High ASCII characters (®, ©, ™, etc.) or other special characters are not supported." sqref="CQ3"/>
    <dataValidation type="list" allowBlank="1" showInputMessage="1" sqref="CR4:CR1048576">
      <formula1>INDIRECT(SUBSTITUTE(A4,"-","_")&amp;"cpsia_cautionary_statement")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CR3"/>
    <dataValidation allowBlank="1" showInputMessage="1" sqref="CS4:CS1048576"/>
    <dataValidation allowBlank="1" showInputMessage="1" prompt="An alphanumeric text string; 1 character minimum and 50 characters maximum." sqref="CS3"/>
    <dataValidation allowBlank="1" showInputMessage="1" sqref="CT4:CT1048576"/>
    <dataValidation allowBlank="1" showInputMessage="1" prompt="A number with up to 10 digits to the left of the decimal point and 2 digits to the right of the decimal point. Please do not use commas." sqref="CT3"/>
    <dataValidation type="list" allowBlank="1" showInputMessage="1" sqref="CU4:CU1048576">
      <formula1>INDIRECT(SUBSTITUTE(A4,"-","_")&amp;"item_volume_unit_of_measure")</formula1>
    </dataValidation>
    <dataValidation allowBlank="1" showInputMessage="1" prompt="Indicates the volume capacity of a product." sqref="CU3"/>
    <dataValidation type="list" allowBlank="1" showInputMessage="1" sqref="CV4:CV1048576">
      <formula1>INDIRECT(SUBSTITUTE(A4,"-","_")&amp;"country_of_origin")</formula1>
    </dataValidation>
    <dataValidation allowBlank="1" showInputMessage="1" prompt="A two letter code that indicates the country where the product originates from." sqref="CV3"/>
    <dataValidation type="list" allowBlank="1" showInputMessage="1" sqref="CW4:CW1048576">
      <formula1>INDIRECT(SUBSTITUTE(A4,"-","_")&amp;"are_batteries_included")</formula1>
    </dataValidation>
    <dataValidation allowBlank="1" showInputMessage="1" prompt="Select: true or false" sqref="CW3"/>
    <dataValidation allowBlank="1" showInputMessage="1" sqref="CX4:CX1048576"/>
    <dataValidation allowBlank="1" showInputMessage="1" prompt="A number with up to 10 digits to the left of the decimal point and 2 digits to the right of the decimal point. Please do not use commas." sqref="CX3"/>
    <dataValidation type="list" allowBlank="1" showInputMessage="1" sqref="CY4:CY1048576">
      <formula1>INDIRECT(SUBSTITUTE(A4,"-","_")&amp;"batteries_required")</formula1>
    </dataValidation>
    <dataValidation allowBlank="1" showInputMessage="1" prompt="Select: true or false" sqref="CY3"/>
    <dataValidation type="list" allowBlank="1" showInputMessage="1" sqref="CZ4:CZ1048576">
      <formula1>INDIRECT(SUBSTITUTE(A4,"-","_")&amp;"battery_type")</formula1>
    </dataValidation>
    <dataValidation allowBlank="1" showInputMessage="1" prompt="Please refer to the Valid Values worksheet.  Only use this when PowerSource is 'battery'" sqref="CZ3"/>
    <dataValidation type="list" allowBlank="1" showInputMessage="1" sqref="DA4:DA1048576">
      <formula1>INDIRECT(SUBSTITUTE(A4,"-","_")&amp;"battery_type")</formula1>
    </dataValidation>
    <dataValidation allowBlank="1" showInputMessage="1" prompt="Please refer to the Valid Values worksheet.  Only use this when PowerSource is 'battery'" sqref="DA3"/>
    <dataValidation type="list" allowBlank="1" showInputMessage="1" sqref="DB4:DB1048576">
      <formula1>INDIRECT(SUBSTITUTE(A4,"-","_")&amp;"battery_type")</formula1>
    </dataValidation>
    <dataValidation allowBlank="1" showInputMessage="1" prompt="Please refer to the Valid Values worksheet.  Only use this when PowerSource is 'battery'" sqref="DB3"/>
    <dataValidation type="list" allowBlank="1" showInputMessage="1" sqref="DC4:DC1048576">
      <formula1>INDIRECT(SUBSTITUTE(A4,"-","_")&amp;"item_weight_unit_of_measure")</formula1>
    </dataValidation>
    <dataValidation allowBlank="1" showInputMessage="1" prompt="The unit of measure used to describe the weight of the product without shipping material." sqref="DC3"/>
    <dataValidation allowBlank="1" showInputMessage="1" sqref="DD4:DD1048576"/>
    <dataValidation allowBlank="1" showInputMessage="1" prompt="Any integer greater than or equal to one" sqref="DD3"/>
    <dataValidation allowBlank="1" showInputMessage="1" sqref="DE4:DE1048576"/>
    <dataValidation allowBlank="1" showInputMessage="1" prompt="Any integer greater than or equal to one" sqref="DE3"/>
    <dataValidation allowBlank="1" showInputMessage="1" sqref="DF4:DF1048576"/>
    <dataValidation allowBlank="1" showInputMessage="1" prompt="Any integer greater than or equal to one" sqref="DF3"/>
    <dataValidation allowBlank="1" showInputMessage="1" sqref="DG4:DG1048576"/>
    <dataValidation allowBlank="1" showInputMessage="1" prompt="A positive whole number." sqref="DG3"/>
    <dataValidation type="list" allowBlank="1" showInputMessage="1" sqref="DH4:DH1048576">
      <formula1>INDIRECT(SUBSTITUTE(A4,"-","_")&amp;"lithium_battery_packaging")</formula1>
    </dataValidation>
    <dataValidation allowBlank="1" showInputMessage="1" prompt="Select from one of the following:               nbatteries_onlynbatteries_contained_in_equipmentnbatteries_packed_with_equipment" sqref="DH3"/>
    <dataValidation allowBlank="1" showInputMessage="1" sqref="DI4:DI1048576"/>
    <dataValidation allowBlank="1" showInputMessage="1" prompt="A positive whole number." sqref="DI3"/>
    <dataValidation allowBlank="1" showInputMessage="1" sqref="DJ4:DJ1048576"/>
    <dataValidation allowBlank="1" showInputMessage="1" prompt="A positive whole number." sqref="DJ3"/>
    <dataValidation allowBlank="1" showInputMessage="1" sqref="DK4:DK1048576"/>
    <dataValidation allowBlank="1" showInputMessage="1" prompt="A positive whole number." sqref="DK3"/>
    <dataValidation type="list" allowBlank="1" showInputMessage="1" sqref="DL4:DL1048576">
      <formula1>INDIRECT(SUBSTITUTE(A4,"-","_")&amp;"battery_cell_composition")</formula1>
    </dataValidation>
    <dataValidation allowBlank="1" showInputMessage="1" prompt="What type or composition is the battery?" sqref="DL3"/>
    <dataValidation allowBlank="1" showInputMessage="1" sqref="DM4:DM1048576"/>
    <dataValidation allowBlank="1" showInputMessage="1" prompt="Number up to 10 digits and 2 decimal points long." sqref="DM3"/>
    <dataValidation type="list" allowBlank="1" showInputMessage="1" sqref="DN4:DN1048576">
      <formula1>INDIRECT(SUBSTITUTE(A4,"-","_")&amp;"battery_weight_unit_of_measure")</formula1>
    </dataValidation>
    <dataValidation allowBlank="1" showInputMessage="1" prompt="Unit of measure used to describe the battery weight" sqref="DN3"/>
    <dataValidation type="list" allowBlank="1" showInputMessage="1" sqref="DO4:DO1048576">
      <formula1>INDIRECT(SUBSTITUTE(A4,"-","_")&amp;"lithium_battery_energy_content_unit_of_measure")</formula1>
    </dataValidation>
    <dataValidation allowBlank="1" showInputMessage="1" prompt="Indicate unit of measure if Lithium Battery Energy Content is populated" sqref="DO3"/>
    <dataValidation type="list" allowBlank="1" showInputMessage="1" sqref="DP4:DP1048576">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DP3"/>
    <dataValidation type="list" allowBlank="1" showInputMessage="1" sqref="DQ4:DQ1048576">
      <formula1>INDIRECT(SUBSTITUTE(A4,"-","_")&amp;"supplier_declared_dg_hz_regulation")</formula1>
    </dataValidation>
    <dataValidation allowBlank="1" showInputMessage="1" prompt="Please select the applicable response from the dropdown." sqref="DQ3"/>
    <dataValidation type="list" allowBlank="1" showInputMessage="1" sqref="DR4:DR1048576">
      <formula1>INDIRECT(SUBSTITUTE(A4,"-","_")&amp;"supplier_declared_dg_hz_regulation")</formula1>
    </dataValidation>
    <dataValidation allowBlank="1" showInputMessage="1" prompt="Please select the applicable response from the dropdown." sqref="DR3"/>
    <dataValidation type="list" allowBlank="1" showInputMessage="1" sqref="DS4:DS1048576">
      <formula1>INDIRECT(SUBSTITUTE(A4,"-","_")&amp;"supplier_declared_dg_hz_regulation")</formula1>
    </dataValidation>
    <dataValidation allowBlank="1" showInputMessage="1" prompt="Please select the applicable response from the dropdown." sqref="DS3"/>
    <dataValidation type="list" allowBlank="1" showInputMessage="1" sqref="DT4:DT1048576">
      <formula1>INDIRECT(SUBSTITUTE(A4,"-","_")&amp;"supplier_declared_dg_hz_regulation")</formula1>
    </dataValidation>
    <dataValidation allowBlank="1" showInputMessage="1" prompt="Please select the applicable response from the dropdown." sqref="DT3"/>
    <dataValidation type="list" allowBlank="1" showInputMessage="1" sqref="DU4:DU1048576">
      <formula1>INDIRECT(SUBSTITUTE(A4,"-","_")&amp;"supplier_declared_dg_hz_regulation")</formula1>
    </dataValidation>
    <dataValidation allowBlank="1" showInputMessage="1" prompt="Please select the applicable response from the dropdown." sqref="DU3"/>
    <dataValidation allowBlank="1" showInputMessage="1" sqref="DV4:DV1048576"/>
    <dataValidation allowBlank="1" showInputMessage="1" prompt="Hazmat United Nationals Regulatory ID" sqref="DV3"/>
    <dataValidation allowBlank="1" showInputMessage="1" sqref="DW4:DW1048576"/>
    <dataValidation allowBlank="1" showInputMessage="1" prompt="Holds link to the externally hosted SDS (Safety Data Sheet) for an item" sqref="DW3"/>
    <dataValidation type="list" allowBlank="1" showInputMessage="1" sqref="DX4:DX1048576">
      <formula1>INDIRECT(SUBSTITUTE(A4,"-","_")&amp;"legal_compliance_certification_regulatory_organization_name")</formula1>
    </dataValidation>
    <dataValidation allowBlank="1" showInputMessage="1" prompt="Select the applicable authority governing the regulation/restriction" sqref="DX3"/>
    <dataValidation type="list" allowBlank="1" showInputMessage="1" sqref="DY4:DY1048576">
      <formula1>INDIRECT(SUBSTITUTE(A4,"-","_")&amp;"legal_compliance_certification_status")</formula1>
    </dataValidation>
    <dataValidation allowBlank="1" showInputMessage="1" prompt="If you have the required certification for compliance, select Compliant; if not, select, Non-compliant, and if not needed, select Exempt" sqref="DY3"/>
    <dataValidation allowBlank="1" showInputMessage="1" sqref="DZ4:DZ1048576"/>
    <dataValidation allowBlank="1" showInputMessage="1" prompt="A number with up to 10 digits allowed to the left of the decimal point and 2 digits to the right of the decimal point. Please do not use commas." sqref="DZ3"/>
    <dataValidation type="list" allowBlank="1" showInputMessage="1" sqref="EA4:EA1048576">
      <formula1>INDIRECT(SUBSTITUTE(A4,"-","_")&amp;"supplier_declared_material_regulation")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A3"/>
    <dataValidation type="list" allowBlank="1" showInputMessage="1" sqref="EB4:EB1048576">
      <formula1>INDIRECT(SUBSTITUTE(A4,"-","_")&amp;"supplier_declared_material_regulation")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B3"/>
    <dataValidation type="list" allowBlank="1" showInputMessage="1" sqref="EC4:EC1048576">
      <formula1>INDIRECT(SUBSTITUTE(A4,"-","_")&amp;"supplier_declared_material_regulation")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C3"/>
    <dataValidation allowBlank="1" showInputMessage="1" sqref="ED4:ED1048576"/>
    <dataValidation allowBlank="1" showInputMessage="1" prompt="Insert the legal compliance certification" sqref="ED3"/>
    <dataValidation type="list" allowBlank="1" showInputMessage="1" sqref="EE4:EE1048576">
      <formula1>INDIRECT(SUBSTITUTE(A4,"-","_")&amp;"ghs_classification_class")</formula1>
    </dataValidation>
    <dataValidation allowBlank="1" showInputMessage="1" prompt="Global Harmonized System (GHS) CLP classification system." sqref="EE3"/>
    <dataValidation type="list" allowBlank="1" showInputMessage="1" sqref="EF4:EF1048576">
      <formula1>INDIRECT(SUBSTITUTE(A4,"-","_")&amp;"ghs_classification_class")</formula1>
    </dataValidation>
    <dataValidation allowBlank="1" showInputMessage="1" prompt="Global Harmonized System (GHS) CLP classification system." sqref="EF3"/>
    <dataValidation type="list" allowBlank="1" showInputMessage="1" sqref="EG4:EG1048576">
      <formula1>INDIRECT(SUBSTITUTE(A4,"-","_")&amp;"ghs_classification_class")</formula1>
    </dataValidation>
    <dataValidation allowBlank="1" showInputMessage="1" prompt="Global Harmonized System (GHS) CLP classification system." sqref="EG3"/>
    <dataValidation type="list" allowBlank="1" showInputMessage="1" sqref="EH4:EH1048576">
      <formula1>INDIRECT(SUBSTITUTE(A4,"-","_")&amp;"california_proposition__compliance_type")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EH3"/>
    <dataValidation type="list" allowBlank="1" showInputMessage="1" sqref="EI4:EI1048576">
      <formula1>INDIRECT(SUBSTITUTE(A4,"-","_")&amp;"california_proposition__chemical_names")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I3"/>
    <dataValidation type="list" allowBlank="1" showInputMessage="1" sqref="EJ4:EJ1048576">
      <formula1>INDIRECT(SUBSTITUTE(A4,"-","_")&amp;"california_proposition__chemical_names")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J3"/>
    <dataValidation type="list" allowBlank="1" showInputMessage="1" sqref="EK4:EK1048576">
      <formula1>INDIRECT(SUBSTITUTE(A4,"-","_")&amp;"california_proposition__chemical_names")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K3"/>
    <dataValidation type="list" allowBlank="1" showInputMessage="1" sqref="EL4:EL1048576">
      <formula1>INDIRECT(SUBSTITUTE(A4,"-","_")&amp;"california_proposition__chemical_names")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L3"/>
    <dataValidation type="list" allowBlank="1" showInputMessage="1" sqref="EM4:EM1048576">
      <formula1>INDIRECT(SUBSTITUTE(A4,"-","_")&amp;"california_proposition__chemical_names")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M3"/>
    <dataValidation type="list" allowBlank="1" showInputMessage="1" sqref="EN4:EN1048576">
      <formula1>INDIRECT(SUBSTITUTE(A4,"-","_")&amp;"pesticide_marking_type")</formula1>
    </dataValidation>
    <dataValidation allowBlank="1" showInputMessage="1" prompt="Provide any pesticide marking on the item or packaging" sqref="EN3"/>
    <dataValidation type="list" allowBlank="1" showInputMessage="1" sqref="EO4:EO1048576">
      <formula1>INDIRECT(SUBSTITUTE(A4,"-","_")&amp;"pesticide_marking_type")</formula1>
    </dataValidation>
    <dataValidation allowBlank="1" showInputMessage="1" prompt="Provide any pesticide marking on the item or packaging" sqref="EO3"/>
    <dataValidation type="list" allowBlank="1" showInputMessage="1" sqref="EP4:EP1048576">
      <formula1>INDIRECT(SUBSTITUTE(A4,"-","_")&amp;"pesticide_marking_type")</formula1>
    </dataValidation>
    <dataValidation allowBlank="1" showInputMessage="1" prompt="Provide any pesticide marking on the item or packaging" sqref="EP3"/>
    <dataValidation type="list" allowBlank="1" showInputMessage="1" sqref="EQ4:EQ1048576">
      <formula1>INDIRECT(SUBSTITUTE(A4,"-","_")&amp;"pesticide_marking_registration_status")</formula1>
    </dataValidation>
    <dataValidation allowBlank="1" showInputMessage="1" prompt="Provide a status whether the item requires registration and an associated registration number" sqref="EQ3"/>
    <dataValidation type="list" allowBlank="1" showInputMessage="1" sqref="ER4:ER1048576">
      <formula1>INDIRECT(SUBSTITUTE(A4,"-","_")&amp;"pesticide_marking_registration_status")</formula1>
    </dataValidation>
    <dataValidation allowBlank="1" showInputMessage="1" prompt="Provide a status whether the item requires registration and an associated registration number" sqref="ER3"/>
    <dataValidation type="list" allowBlank="1" showInputMessage="1" sqref="ES4:ES1048576">
      <formula1>INDIRECT(SUBSTITUTE(A4,"-","_")&amp;"pesticide_marking_registration_status")</formula1>
    </dataValidation>
    <dataValidation allowBlank="1" showInputMessage="1" prompt="Provide a status whether the item requires registration and an associated registration number" sqref="ES3"/>
    <dataValidation allowBlank="1" showInputMessage="1" sqref="ET4:ET1048576"/>
    <dataValidation allowBlank="1" showInputMessage="1" prompt="Provide any pesticide certification number which corresponds with the marking type" sqref="ET3"/>
    <dataValidation allowBlank="1" showInputMessage="1" sqref="EU4:EU1048576"/>
    <dataValidation allowBlank="1" showInputMessage="1" prompt="Provide any pesticide certification number which corresponds with the marking type" sqref="EU3"/>
    <dataValidation allowBlank="1" showInputMessage="1" sqref="EV4:EV1048576"/>
    <dataValidation allowBlank="1" showInputMessage="1" prompt="Provide any pesticide certification number which corresponds with the marking type" sqref="EV3"/>
    <dataValidation type="list" allowBlank="1" showInputMessage="1" sqref="EW4:EW1048576">
      <formula1>merchant_shipping_group_name</formula1>
    </dataValidation>
    <dataValidation allowBlank="1" showInputMessage="1" prompt="The ship configuration group for an offer. The ship configuration group is created and managed by the seller through the ship setting UI." sqref="EW3"/>
    <dataValidation allowBlank="1" showInputMessage="1" sqref="EX4:EX1048576"/>
    <dataValidation allowBlank="1" showInputMessage="1" prompt="Manufacturer's suggested retail price. This is not the price that Amazon customers will pay for your product." sqref="EX3"/>
    <dataValidation allowBlank="1" showInputMessage="1" sqref="EY4:EY1048576"/>
    <dataValidation allowBlank="1" showInputMessage="1" prompt="This field is used to setup pre-order and is the date from when the pre-ordered product will be available to be shipped to customers." sqref="EY3"/>
    <dataValidation type="list" allowBlank="1" showInputMessage="1" sqref="EZ4:EZ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EZ3"/>
    <dataValidation allowBlank="1" showInputMessage="1" sqref="FA4:FA1048576"/>
    <dataValidation allowBlank="1" showInputMessage="1" prompt="This field is used to setup back-order and is the date when the back-ordered products will be available for shipping to customers." sqref="FA3"/>
    <dataValidation allowBlank="1" showInputMessage="1" sqref="FB4:FB1048576"/>
    <dataValidation allowBlank="1" showInputMessage="1" prompt="Indicates the time, in days, between when you receive an order for an item and when you can ship the item.  The default is one to two business days. Use this field if you expect to take longer than two business days." sqref="FB3"/>
    <dataValidation allowBlank="1" showInputMessage="1" sqref="FC4:FC1048576"/>
    <dataValidation allowBlank="1" showInputMessage="1" prompt="A text string with a maximum of 1,000 characters. The Condition Note field doesn’t allow special characters." sqref="FC3"/>
    <dataValidation type="list" allowBlank="1" showInputMessage="1" sqref="FD4:FD1048576">
      <formula1>INDIRECT(SUBSTITUTE(A4,"-","_")&amp;"product_tax_code")</formula1>
    </dataValidation>
    <dataValidation allowBlank="1" showInputMessage="1" prompt="Enter the product tax code supplied to you by Amazon.com." sqref="FD3"/>
    <dataValidation allowBlank="1" showInputMessage="1" sqref="FE4:FE1048576"/>
    <dataValidation allowBlank="1" showInputMessage="1" prompt="A positive whole number" sqref="FE3"/>
    <dataValidation type="list" allowBlank="1" showInputMessage="1" sqref="FF4:FF1048576">
      <formula1>INDIRECT(SUBSTITUTE(A4,"-","_")&amp;"offering_can_be_gift_messaged")</formula1>
    </dataValidation>
    <dataValidation allowBlank="1" showInputMessage="1" prompt="Select: true or false" sqref="FF3"/>
    <dataValidation type="list" allowBlank="1" showInputMessage="1" sqref="FG4:FG1048576">
      <formula1>INDIRECT(SUBSTITUTE(A4,"-","_")&amp;"offering_can_be_giftwrapped")</formula1>
    </dataValidation>
    <dataValidation allowBlank="1" showInputMessage="1" prompt="Select: True or False" sqref="FG3"/>
    <dataValidation allowBlank="1" showInputMessage="1" sqref="FH4:FH1048576"/>
    <dataValidation allowBlank="1" showInputMessage="1" prompt="The maximum quantity of the product that a customer may purchase in one order" sqref="FH3"/>
    <dataValidation allowBlank="1" showInputMessage="1" sqref="FI4:FI1048576"/>
    <dataValidation allowBlank="1" showInputMessage="1" prompt="The number of items that are included in the product" sqref="FI3"/>
    <dataValidation allowBlank="1" showInputMessage="1" sqref="FJ4:FJ1048576"/>
    <dataValidation allowBlank="1" showInputMessage="1" prompt="The price at which you offer the product for sale." sqref="FJ3"/>
    <dataValidation allowBlank="1" showInputMessage="1" sqref="FK4:FK1048576"/>
    <dataValidation allowBlank="1" showInputMessage="1" prompt="The date that the sale price will begin to override the product's standard price; the sale price will be displayed after 0:00AM of Sale From Date." sqref="FK3"/>
    <dataValidation allowBlank="1" showInputMessage="1" sqref="FL4:FL1048576"/>
    <dataValidation allowBlank="1" showInputMessage="1" prompt="The last date that the sale price will override the item's standard price; the product's standard price will be displayed after 0:00AM of Sale End Date." sqref="FL3"/>
    <dataValidation allowBlank="1" showInputMessage="1" sqref="FM4:FM1048576"/>
    <dataValidation allowBlank="1" showInputMessage="1" prompt="Your price end date" sqref="FM3"/>
    <dataValidation allowBlank="1" showInputMessage="1" sqref="FN4:FN1048576"/>
    <dataValidation allowBlank="1" showInputMessage="1" prompt="Provide the base price of an item" sqref="FN3"/>
    <dataValidation allowBlank="1" showInputMessage="1" sqref="FO4:FO1048576"/>
    <dataValidation allowBlank="1" showInputMessage="1" prompt="Your price start date" sqref="FO3"/>
    <dataValidation allowBlank="1" showInputMessage="1" sqref="FP4:FP1048576"/>
    <dataValidation allowBlank="1" showInputMessage="1" prompt="The price at which you offer the product for sale." sqref="FP3"/>
    <dataValidation allowBlank="1" showInputMessage="1" sqref="FQ4:FQ1048576"/>
    <dataValidation allowBlank="1" showInputMessage="1" prompt="The date that the sale price will begin to override the product's standard price; the sale price will be displayed after 0:00AM of Sale From Date." sqref="FQ3"/>
    <dataValidation allowBlank="1" showInputMessage="1" sqref="FR4:FR1048576"/>
    <dataValidation allowBlank="1" showInputMessage="1" prompt="The last date that the sale price will override the item's standard price; the product's standard price will be displayed after 0:00AM of Sale End Date." sqref="FR3"/>
    <dataValidation allowBlank="1" showInputMessage="1" sqref="FS4:FS1048576"/>
    <dataValidation allowBlank="1" showInputMessage="1" prompt="Your price end date" sqref="FS3"/>
    <dataValidation allowBlank="1" showInputMessage="1" sqref="FT4:FT1048576"/>
    <dataValidation allowBlank="1" showInputMessage="1" prompt="Provide the base price of an item" sqref="FT3"/>
    <dataValidation allowBlank="1" showInputMessage="1" sqref="FU4:FU1048576"/>
    <dataValidation allowBlank="1" showInputMessage="1" prompt="Your price start date" sqref="FU3"/>
    <dataValidation allowBlank="1" showInputMessage="1" sqref="FV4:FV1048576"/>
    <dataValidation allowBlank="1" showInputMessage="1" prompt="The price at which you offer the product for sale." sqref="FV3"/>
    <dataValidation allowBlank="1" showInputMessage="1" sqref="FW4:FW1048576"/>
    <dataValidation allowBlank="1" showInputMessage="1" prompt="The date that the sale price will begin to override the product's standard price; the sale price will be displayed after 0:00AM of Sale From Date." sqref="FW3"/>
    <dataValidation allowBlank="1" showInputMessage="1" sqref="FX4:FX1048576"/>
    <dataValidation allowBlank="1" showInputMessage="1" prompt="The last date that the sale price will override the item's standard price; the product's standard price will be displayed after 0:00AM of Sale End Date." sqref="FX3"/>
    <dataValidation allowBlank="1" showInputMessage="1" sqref="FY4:FY1048576"/>
    <dataValidation allowBlank="1" showInputMessage="1" prompt="Your price end date" sqref="FY3"/>
    <dataValidation allowBlank="1" showInputMessage="1" sqref="FZ4:FZ1048576"/>
    <dataValidation allowBlank="1" showInputMessage="1" prompt="Provide the base price of an item" sqref="FZ3"/>
    <dataValidation allowBlank="1" showInputMessage="1" sqref="GA4:GA1048576"/>
    <dataValidation allowBlank="1" showInputMessage="1" prompt="Your price start date" sqref="GA3"/>
    <dataValidation allowBlank="1" showInputMessage="1" sqref="GB4:GB1048576"/>
    <dataValidation allowBlank="1" showInputMessage="1" prompt="The price at which the merchant offers the product to registered business buyers for sale, expressed in U.S. dollars. " sqref="GB3"/>
    <dataValidation type="list" allowBlank="1" showInputMessage="1" sqref="GC4:GC1048576">
      <formula1>INDIRECT(SUBSTITUTE(A4,"-","_")&amp;"quantity_price_type")</formula1>
    </dataValidation>
    <dataValidation allowBlank="1" showInputMessage="1" prompt="The unit of measure the discount will be expressed in. Either Fixed price in U.S. dollars or Percent Off" sqref="GC3"/>
    <dataValidation allowBlank="1" showInputMessage="1" sqref="GD4:GD1048576"/>
    <dataValidation allowBlank="1" showInputMessage="1" prompt="The minimum purchase quantity necessary to receive the associated Fixed price or Percent Off price" sqref="GD3"/>
    <dataValidation allowBlank="1" showInputMessage="1" sqref="GE4:GE1048576"/>
    <dataValidation allowBlank="1" showInputMessage="1" prompt="The Fixed price or Percent Off discount at which the merchant offers the product for sale if the buyer is purchasing at least the associated quantity, expressed in U.S. dollars." sqref="GE3"/>
    <dataValidation allowBlank="1" showInputMessage="1" sqref="GF4:GF1048576"/>
    <dataValidation allowBlank="1" showInputMessage="1" prompt="The minimum purchase quantity necessary to receive the associated Fixed price or Percent Off price" sqref="GF3"/>
    <dataValidation allowBlank="1" showInputMessage="1" sqref="GG4:GG1048576"/>
    <dataValidation allowBlank="1" showInputMessage="1" prompt="The Fixed price or Percent Off discount at which the merchant offers the product for sale if the buyer is purchasing at least the associated quantity, expressed in U.S. dollars." sqref="GG3"/>
    <dataValidation allowBlank="1" showInputMessage="1" sqref="GH4:GH1048576"/>
    <dataValidation allowBlank="1" showInputMessage="1" prompt="The minimum purchase quantity necessary to receive the associated Fixed price or Percent Off price" sqref="GH3"/>
    <dataValidation allowBlank="1" showInputMessage="1" sqref="GI4:GI1048576"/>
    <dataValidation allowBlank="1" showInputMessage="1" prompt="The Fixed price or Percent Off discount at which the merchant offers the product for sale if the buyer is purchasing at least the associated quantity, expressed in U.S. dollars." sqref="GI3"/>
    <dataValidation allowBlank="1" showInputMessage="1" sqref="GJ4:GJ1048576"/>
    <dataValidation allowBlank="1" showInputMessage="1" prompt="The minimum purchase quantity necessary to receive the associated Fixed price or Percent Off price" sqref="GJ3"/>
    <dataValidation allowBlank="1" showInputMessage="1" sqref="GK4:GK1048576"/>
    <dataValidation allowBlank="1" showInputMessage="1" prompt="The Fixed price or Percent Off discount at which the merchant offers the product for sale if the buyer is purchasing at least the associated quantity, expressed in U.S. dollars." sqref="GK3"/>
    <dataValidation allowBlank="1" showInputMessage="1" sqref="GL4:GL1048576"/>
    <dataValidation allowBlank="1" showInputMessage="1" prompt="The minimum purchase quantity necessary to receive the associated Fixed price or Percent Off price" sqref="GL3"/>
    <dataValidation allowBlank="1" showInputMessage="1" sqref="GM4:GM1048576"/>
    <dataValidation allowBlank="1" showInputMessage="1" prompt="The Fixed price or Percent Off discount at which the merchant offers the product for sale if the buyer is purchasing at least the associated quantity, expressed in U.S. dollars." sqref="GM3"/>
    <dataValidation allowBlank="1" showInputMessage="1" sqref="GN4:GN1048576"/>
    <dataValidation allowBlank="1" showInputMessage="1" prompt="A alpha-numeric 13 digit code. Code identifying standard material items of supply as defined by NATO" sqref="GN3"/>
    <dataValidation type="list" allowBlank="1" showInputMessage="1" sqref="GO4:GO1048576">
      <formula1>INDIRECT(SUBSTITUTE(A4,"-","_")&amp;"progressive_discount_type")</formula1>
    </dataValidation>
    <dataValidation allowBlank="1" showInputMessage="1" prompt="The unit of measure the discount will be expressed in either Fixed price in U.S. dollars or Percent Off." sqref="GO3"/>
    <dataValidation allowBlank="1" showInputMessage="1" sqref="GP4:GP1048576"/>
    <dataValidation allowBlank="1" showInputMessage="1" prompt="An 8 digit code A numeric code classifying products according to the UNSPSC system" sqref="GP3"/>
    <dataValidation allowBlank="1" showInputMessage="1" sqref="GQ4:GQ1048576"/>
    <dataValidation allowBlank="1" showInputMessage="1" prompt="The minimum purchase quantity necessary to receive the associated Fixed price or Percent Off price." sqref="GQ3"/>
    <dataValidation allowBlank="1" showInputMessage="1" sqref="GR4:GR1048576"/>
    <dataValidation allowBlank="1" showInputMessage="1" prompt="The Fixed price or Percent Off discount at which the merchant offers the product for sale if the buyer is purchasing at least the associated quantity." sqref="GR3"/>
    <dataValidation type="list" allowBlank="1" showInputMessage="1" sqref="GS4:GS1048576">
      <formula1>INDIRECT(SUBSTITUTE(A4,"-","_")&amp;"pricing_action")</formula1>
    </dataValidation>
    <dataValidation allowBlank="1" showInputMessage="1" prompt="&quot;&quot;delete business_price&quot;&quot; (without the quotes)" sqref="GS3"/>
    <dataValidation allowBlank="1" showInputMessage="1" sqref="GT4:GT1048576"/>
    <dataValidation allowBlank="1" showInputMessage="1" prompt="The minimum purchase quantity necessary to receive the associated Fixed price or Percent Off price." sqref="GT3"/>
    <dataValidation allowBlank="1" showInputMessage="1" sqref="GU4:GU1048576"/>
    <dataValidation allowBlank="1" showInputMessage="1" prompt="The Fixed price or Percent Off discount at which the merchant offers the product for sale if the buyer is purchasing at least the associated quantity." sqref="GU3"/>
    <dataValidation allowBlank="1" showInputMessage="1" sqref="GV4:GV1048576"/>
    <dataValidation allowBlank="1" showInputMessage="1" prompt="The minimum purchase quantity necessary to receive the associated Fixed price or Percent Off price." sqref="GV3"/>
    <dataValidation allowBlank="1" showInputMessage="1" sqref="GW4:GW1048576"/>
    <dataValidation allowBlank="1" showInputMessage="1" prompt="The Fixed price or Percent Off discount at which the merchant offers the product for sale if the buyer is purchasing at least the associated quantity." sqref="GW3"/>
  </dataValidations>
  <pageMargins left="0.75" right="0.75" top="1" bottom="1" header="0.5" footer="0.5"/>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ColWidth="9" defaultRowHeight="15" x14ac:dyDescent="0.25"/>
  <cols>
    <col min="1" max="4" width="9" customWidth="1"/>
  </cols>
  <sheetData>
    <row r="1" spans="1:4" x14ac:dyDescent="0.25">
      <c r="A1" t="s">
        <v>2808</v>
      </c>
      <c r="B1" t="s">
        <v>2809</v>
      </c>
      <c r="C1" t="s">
        <v>2810</v>
      </c>
      <c r="D1" t="s">
        <v>2811</v>
      </c>
    </row>
    <row r="2" spans="1:4" x14ac:dyDescent="0.25">
      <c r="A2" t="s">
        <v>841</v>
      </c>
      <c r="B2" t="s">
        <v>1513</v>
      </c>
      <c r="C2" t="s">
        <v>1366</v>
      </c>
      <c r="D2" t="s">
        <v>1244</v>
      </c>
    </row>
    <row r="3" spans="1:4" x14ac:dyDescent="0.25">
      <c r="B3" t="s">
        <v>1584</v>
      </c>
    </row>
    <row r="4" spans="1:4" x14ac:dyDescent="0.25">
      <c r="B4" t="s">
        <v>1367</v>
      </c>
    </row>
    <row r="5" spans="1:4" x14ac:dyDescent="0.25">
      <c r="B5" t="s">
        <v>1578</v>
      </c>
    </row>
    <row r="6" spans="1:4" x14ac:dyDescent="0.25">
      <c r="B6" t="s">
        <v>1594</v>
      </c>
    </row>
    <row r="7" spans="1:4" x14ac:dyDescent="0.25">
      <c r="B7" t="s">
        <v>1492</v>
      </c>
    </row>
    <row r="8" spans="1:4" x14ac:dyDescent="0.25">
      <c r="B8" t="s">
        <v>1522</v>
      </c>
    </row>
    <row r="9" spans="1:4" x14ac:dyDescent="0.25">
      <c r="B9" t="s">
        <v>1540</v>
      </c>
    </row>
    <row r="10" spans="1:4" x14ac:dyDescent="0.25">
      <c r="B10" t="s">
        <v>1387</v>
      </c>
    </row>
    <row r="11" spans="1:4" x14ac:dyDescent="0.25">
      <c r="B11" t="s">
        <v>1466</v>
      </c>
    </row>
    <row r="12" spans="1:4" x14ac:dyDescent="0.25">
      <c r="B12" t="s">
        <v>1431</v>
      </c>
    </row>
    <row r="13" spans="1:4" x14ac:dyDescent="0.25">
      <c r="B13" t="s">
        <v>1619</v>
      </c>
    </row>
  </sheetData>
  <pageMargins left="0.75" right="0.75" top="1" bottom="1" header="0.5" footer="0.5"/>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M872"/>
  <sheetViews>
    <sheetView workbookViewId="0"/>
  </sheetViews>
  <sheetFormatPr defaultColWidth="9" defaultRowHeight="15" x14ac:dyDescent="0.25"/>
  <sheetData>
    <row r="1" spans="1:65" x14ac:dyDescent="0.25">
      <c r="A1" t="s">
        <v>966</v>
      </c>
      <c r="B1" t="s">
        <v>966</v>
      </c>
      <c r="C1" t="s">
        <v>966</v>
      </c>
      <c r="D1" t="s">
        <v>966</v>
      </c>
      <c r="E1" t="s">
        <v>966</v>
      </c>
      <c r="F1" t="s">
        <v>966</v>
      </c>
      <c r="G1" t="s">
        <v>966</v>
      </c>
      <c r="H1" t="s">
        <v>966</v>
      </c>
      <c r="I1" t="s">
        <v>966</v>
      </c>
      <c r="J1" t="s">
        <v>966</v>
      </c>
      <c r="K1" t="s">
        <v>966</v>
      </c>
      <c r="L1" t="s">
        <v>966</v>
      </c>
      <c r="M1" t="s">
        <v>966</v>
      </c>
      <c r="N1" t="s">
        <v>966</v>
      </c>
      <c r="O1" t="s">
        <v>966</v>
      </c>
      <c r="P1" t="s">
        <v>966</v>
      </c>
      <c r="Q1" t="s">
        <v>966</v>
      </c>
      <c r="R1" t="s">
        <v>966</v>
      </c>
      <c r="S1" t="s">
        <v>966</v>
      </c>
      <c r="T1" t="s">
        <v>966</v>
      </c>
      <c r="U1" t="s">
        <v>966</v>
      </c>
      <c r="V1" t="s">
        <v>966</v>
      </c>
      <c r="W1" t="s">
        <v>966</v>
      </c>
      <c r="X1" t="s">
        <v>966</v>
      </c>
      <c r="Y1" t="s">
        <v>966</v>
      </c>
      <c r="Z1" t="s">
        <v>966</v>
      </c>
      <c r="AA1" t="s">
        <v>966</v>
      </c>
      <c r="AB1" t="s">
        <v>966</v>
      </c>
      <c r="AC1" t="s">
        <v>966</v>
      </c>
      <c r="AD1" t="s">
        <v>966</v>
      </c>
      <c r="AE1" t="s">
        <v>966</v>
      </c>
      <c r="AF1" t="s">
        <v>966</v>
      </c>
      <c r="AG1" t="s">
        <v>966</v>
      </c>
      <c r="AH1" t="s">
        <v>966</v>
      </c>
      <c r="AI1" t="s">
        <v>966</v>
      </c>
      <c r="AJ1" t="s">
        <v>966</v>
      </c>
      <c r="AK1" t="s">
        <v>966</v>
      </c>
      <c r="AL1" t="s">
        <v>966</v>
      </c>
      <c r="AM1" t="s">
        <v>966</v>
      </c>
      <c r="AN1" t="s">
        <v>966</v>
      </c>
      <c r="AO1" t="s">
        <v>966</v>
      </c>
      <c r="AP1" t="s">
        <v>966</v>
      </c>
      <c r="AQ1" t="s">
        <v>966</v>
      </c>
      <c r="AR1" t="s">
        <v>966</v>
      </c>
      <c r="AS1" t="s">
        <v>966</v>
      </c>
      <c r="AT1" t="s">
        <v>966</v>
      </c>
      <c r="AU1" t="s">
        <v>966</v>
      </c>
      <c r="AV1" t="s">
        <v>966</v>
      </c>
      <c r="AW1" t="s">
        <v>966</v>
      </c>
      <c r="AX1" t="s">
        <v>966</v>
      </c>
      <c r="AY1" t="s">
        <v>966</v>
      </c>
      <c r="AZ1" t="s">
        <v>966</v>
      </c>
      <c r="BA1" t="s">
        <v>966</v>
      </c>
      <c r="BB1" t="s">
        <v>966</v>
      </c>
      <c r="BC1" t="s">
        <v>966</v>
      </c>
      <c r="BD1" t="s">
        <v>966</v>
      </c>
      <c r="BE1" t="s">
        <v>966</v>
      </c>
      <c r="BF1" t="s">
        <v>966</v>
      </c>
      <c r="BG1" t="s">
        <v>966</v>
      </c>
      <c r="BH1" t="s">
        <v>966</v>
      </c>
      <c r="BI1" t="s">
        <v>966</v>
      </c>
      <c r="BJ1" t="s">
        <v>966</v>
      </c>
      <c r="BK1" t="s">
        <v>966</v>
      </c>
      <c r="BL1" t="s">
        <v>966</v>
      </c>
      <c r="BM1" t="s">
        <v>966</v>
      </c>
    </row>
    <row r="2" spans="1:65" x14ac:dyDescent="0.25">
      <c r="B2" t="s">
        <v>1225</v>
      </c>
      <c r="C2" t="s">
        <v>1225</v>
      </c>
      <c r="D2" t="s">
        <v>1225</v>
      </c>
      <c r="E2" t="s">
        <v>1225</v>
      </c>
      <c r="F2" t="s">
        <v>1225</v>
      </c>
      <c r="G2" t="s">
        <v>1225</v>
      </c>
      <c r="H2" t="s">
        <v>1225</v>
      </c>
      <c r="I2" t="s">
        <v>1225</v>
      </c>
      <c r="J2" t="s">
        <v>1225</v>
      </c>
      <c r="K2" t="s">
        <v>1225</v>
      </c>
      <c r="L2" t="s">
        <v>1225</v>
      </c>
      <c r="M2" t="s">
        <v>1225</v>
      </c>
      <c r="N2" t="s">
        <v>1225</v>
      </c>
      <c r="O2" t="s">
        <v>1225</v>
      </c>
      <c r="P2" t="s">
        <v>1225</v>
      </c>
      <c r="Q2" t="s">
        <v>1225</v>
      </c>
      <c r="R2" t="s">
        <v>1225</v>
      </c>
      <c r="S2" t="s">
        <v>1225</v>
      </c>
      <c r="T2" t="s">
        <v>1225</v>
      </c>
      <c r="U2" t="s">
        <v>1225</v>
      </c>
      <c r="V2" t="s">
        <v>1225</v>
      </c>
      <c r="W2" t="s">
        <v>1225</v>
      </c>
      <c r="X2" t="s">
        <v>1225</v>
      </c>
      <c r="Y2" t="s">
        <v>1225</v>
      </c>
      <c r="Z2" t="s">
        <v>1225</v>
      </c>
      <c r="AA2" t="s">
        <v>1225</v>
      </c>
      <c r="AB2" t="s">
        <v>1225</v>
      </c>
      <c r="AC2" t="s">
        <v>1225</v>
      </c>
      <c r="AD2" t="s">
        <v>1225</v>
      </c>
      <c r="AE2" t="s">
        <v>1225</v>
      </c>
      <c r="AF2" t="s">
        <v>1225</v>
      </c>
      <c r="AG2" t="s">
        <v>1225</v>
      </c>
      <c r="AH2" t="s">
        <v>1225</v>
      </c>
      <c r="AI2" t="s">
        <v>1225</v>
      </c>
      <c r="AJ2" t="s">
        <v>1225</v>
      </c>
      <c r="AK2" t="s">
        <v>1225</v>
      </c>
      <c r="AL2" t="s">
        <v>1225</v>
      </c>
      <c r="AM2" t="s">
        <v>1225</v>
      </c>
      <c r="AN2" t="s">
        <v>1225</v>
      </c>
      <c r="AO2" t="s">
        <v>1225</v>
      </c>
      <c r="AP2" t="s">
        <v>1225</v>
      </c>
      <c r="AQ2" t="s">
        <v>1225</v>
      </c>
      <c r="AR2" t="s">
        <v>1225</v>
      </c>
      <c r="AS2" t="s">
        <v>1225</v>
      </c>
      <c r="AU2" t="s">
        <v>1225</v>
      </c>
      <c r="AV2" t="s">
        <v>1225</v>
      </c>
      <c r="AW2" t="s">
        <v>1225</v>
      </c>
      <c r="AX2" t="s">
        <v>1225</v>
      </c>
      <c r="AY2" t="s">
        <v>1225</v>
      </c>
      <c r="AZ2" t="s">
        <v>1225</v>
      </c>
      <c r="BA2" t="s">
        <v>1225</v>
      </c>
      <c r="BB2" t="s">
        <v>1225</v>
      </c>
      <c r="BC2" t="s">
        <v>1225</v>
      </c>
      <c r="BD2" t="s">
        <v>1225</v>
      </c>
      <c r="BE2" t="s">
        <v>1225</v>
      </c>
      <c r="BF2" t="s">
        <v>1225</v>
      </c>
      <c r="BG2" t="s">
        <v>1225</v>
      </c>
      <c r="BH2" t="s">
        <v>1225</v>
      </c>
      <c r="BI2" t="s">
        <v>1225</v>
      </c>
      <c r="BJ2" t="s">
        <v>1225</v>
      </c>
      <c r="BK2" t="s">
        <v>1225</v>
      </c>
      <c r="BL2" t="s">
        <v>1225</v>
      </c>
      <c r="BM2" t="s">
        <v>1225</v>
      </c>
    </row>
    <row r="3" spans="1:65" x14ac:dyDescent="0.25">
      <c r="A3" t="s">
        <v>922</v>
      </c>
      <c r="B3" t="s">
        <v>948</v>
      </c>
      <c r="C3" t="s">
        <v>1042</v>
      </c>
      <c r="D3" t="s">
        <v>1226</v>
      </c>
      <c r="E3" t="s">
        <v>1016</v>
      </c>
      <c r="F3" t="s">
        <v>1086</v>
      </c>
      <c r="G3" t="s">
        <v>974</v>
      </c>
      <c r="H3" t="s">
        <v>1101</v>
      </c>
      <c r="I3" t="s">
        <v>933</v>
      </c>
      <c r="J3" t="s">
        <v>950</v>
      </c>
      <c r="K3" t="s">
        <v>1227</v>
      </c>
      <c r="L3" t="s">
        <v>997</v>
      </c>
      <c r="M3" t="s">
        <v>913</v>
      </c>
      <c r="N3" t="s">
        <v>1228</v>
      </c>
      <c r="O3" t="s">
        <v>1229</v>
      </c>
      <c r="P3" t="s">
        <v>1230</v>
      </c>
      <c r="Q3" t="s">
        <v>1044</v>
      </c>
      <c r="R3" t="s">
        <v>1092</v>
      </c>
      <c r="S3" t="s">
        <v>1109</v>
      </c>
      <c r="T3" t="s">
        <v>1070</v>
      </c>
      <c r="U3" t="s">
        <v>952</v>
      </c>
      <c r="V3" t="s">
        <v>1121</v>
      </c>
      <c r="W3" t="s">
        <v>980</v>
      </c>
      <c r="X3" t="s">
        <v>1088</v>
      </c>
      <c r="Y3" t="s">
        <v>1124</v>
      </c>
      <c r="Z3" t="s">
        <v>1047</v>
      </c>
      <c r="AA3" t="s">
        <v>1231</v>
      </c>
      <c r="AB3" t="s">
        <v>1079</v>
      </c>
      <c r="AC3" t="s">
        <v>1214</v>
      </c>
      <c r="AD3" t="s">
        <v>985</v>
      </c>
      <c r="AE3" t="s">
        <v>1011</v>
      </c>
      <c r="AF3" t="s">
        <v>1115</v>
      </c>
      <c r="AG3" t="s">
        <v>1057</v>
      </c>
      <c r="AH3" t="s">
        <v>1066</v>
      </c>
      <c r="AI3" t="s">
        <v>1001</v>
      </c>
      <c r="AJ3" t="s">
        <v>1051</v>
      </c>
      <c r="AK3" t="s">
        <v>1232</v>
      </c>
      <c r="AL3" t="s">
        <v>1073</v>
      </c>
      <c r="AM3" t="s">
        <v>1160</v>
      </c>
      <c r="AN3" t="s">
        <v>1114</v>
      </c>
      <c r="AO3" t="s">
        <v>1233</v>
      </c>
      <c r="AP3" t="s">
        <v>1053</v>
      </c>
      <c r="AQ3" t="s">
        <v>215</v>
      </c>
      <c r="AR3" t="s">
        <v>1014</v>
      </c>
      <c r="AS3" t="s">
        <v>1113</v>
      </c>
      <c r="AT3" t="s">
        <v>1141</v>
      </c>
      <c r="AU3" t="s">
        <v>954</v>
      </c>
      <c r="AV3" t="s">
        <v>1096</v>
      </c>
      <c r="AW3" t="s">
        <v>976</v>
      </c>
      <c r="AX3" t="s">
        <v>1234</v>
      </c>
      <c r="AY3" t="s">
        <v>1085</v>
      </c>
      <c r="AZ3" t="s">
        <v>1222</v>
      </c>
      <c r="BA3" t="s">
        <v>944</v>
      </c>
      <c r="BB3" t="s">
        <v>1028</v>
      </c>
      <c r="BC3" t="s">
        <v>970</v>
      </c>
      <c r="BD3" t="s">
        <v>1132</v>
      </c>
      <c r="BE3" t="s">
        <v>1075</v>
      </c>
      <c r="BF3" t="s">
        <v>1034</v>
      </c>
      <c r="BG3" t="s">
        <v>1205</v>
      </c>
      <c r="BH3" t="s">
        <v>1154</v>
      </c>
      <c r="BI3" t="s">
        <v>990</v>
      </c>
      <c r="BJ3" t="s">
        <v>1038</v>
      </c>
      <c r="BK3" t="s">
        <v>1158</v>
      </c>
      <c r="BL3" t="s">
        <v>1018</v>
      </c>
      <c r="BM3" t="s">
        <v>935</v>
      </c>
    </row>
    <row r="4" spans="1:65" x14ac:dyDescent="0.25">
      <c r="A4" t="s">
        <v>1225</v>
      </c>
      <c r="B4" t="s">
        <v>920</v>
      </c>
      <c r="C4" t="s">
        <v>918</v>
      </c>
      <c r="D4" t="s">
        <v>1235</v>
      </c>
      <c r="E4" t="s">
        <v>918</v>
      </c>
      <c r="F4" t="s">
        <v>1236</v>
      </c>
      <c r="G4" t="s">
        <v>1237</v>
      </c>
      <c r="H4" t="s">
        <v>1238</v>
      </c>
      <c r="I4" t="s">
        <v>1239</v>
      </c>
      <c r="J4" t="s">
        <v>1240</v>
      </c>
      <c r="K4" t="s">
        <v>1241</v>
      </c>
      <c r="L4" t="s">
        <v>1242</v>
      </c>
      <c r="M4" t="s">
        <v>1243</v>
      </c>
      <c r="N4" t="s">
        <v>1244</v>
      </c>
      <c r="O4" t="s">
        <v>1245</v>
      </c>
      <c r="P4" t="s">
        <v>1246</v>
      </c>
      <c r="Q4" t="s">
        <v>1046</v>
      </c>
      <c r="R4" t="s">
        <v>841</v>
      </c>
      <c r="S4" t="s">
        <v>1247</v>
      </c>
      <c r="T4" t="s">
        <v>917</v>
      </c>
      <c r="U4" t="s">
        <v>768</v>
      </c>
      <c r="V4" t="s">
        <v>1123</v>
      </c>
      <c r="W4" t="s">
        <v>1248</v>
      </c>
      <c r="X4" t="s">
        <v>841</v>
      </c>
      <c r="Y4" t="s">
        <v>1249</v>
      </c>
      <c r="Z4" t="s">
        <v>1250</v>
      </c>
      <c r="AA4" t="s">
        <v>1251</v>
      </c>
      <c r="AB4" t="s">
        <v>1252</v>
      </c>
      <c r="AC4" t="s">
        <v>1207</v>
      </c>
      <c r="AD4" t="s">
        <v>1253</v>
      </c>
      <c r="AE4" t="s">
        <v>1254</v>
      </c>
      <c r="AF4" t="s">
        <v>917</v>
      </c>
      <c r="AG4" t="s">
        <v>1059</v>
      </c>
      <c r="AH4" t="s">
        <v>918</v>
      </c>
      <c r="AI4" t="s">
        <v>841</v>
      </c>
      <c r="AJ4" t="s">
        <v>917</v>
      </c>
      <c r="AK4" t="s">
        <v>1255</v>
      </c>
      <c r="AL4" t="s">
        <v>918</v>
      </c>
      <c r="AM4" t="s">
        <v>841</v>
      </c>
      <c r="AN4" t="s">
        <v>1256</v>
      </c>
      <c r="AO4" t="s">
        <v>1257</v>
      </c>
      <c r="AP4" t="s">
        <v>918</v>
      </c>
      <c r="AQ4" t="s">
        <v>1258</v>
      </c>
      <c r="AR4" t="s">
        <v>918</v>
      </c>
      <c r="AS4" t="s">
        <v>917</v>
      </c>
      <c r="AT4" t="s">
        <v>1259</v>
      </c>
      <c r="AU4" t="s">
        <v>1260</v>
      </c>
      <c r="AV4" t="s">
        <v>917</v>
      </c>
      <c r="AW4" t="s">
        <v>1261</v>
      </c>
      <c r="AX4" t="s">
        <v>1262</v>
      </c>
      <c r="AY4" t="s">
        <v>1263</v>
      </c>
      <c r="AZ4" t="s">
        <v>1224</v>
      </c>
      <c r="BA4" t="s">
        <v>1264</v>
      </c>
      <c r="BB4" t="s">
        <v>917</v>
      </c>
      <c r="BC4" t="s">
        <v>1236</v>
      </c>
      <c r="BD4" t="s">
        <v>1265</v>
      </c>
      <c r="BE4" t="s">
        <v>918</v>
      </c>
      <c r="BF4" t="s">
        <v>918</v>
      </c>
      <c r="BG4" t="s">
        <v>1207</v>
      </c>
      <c r="BH4" t="s">
        <v>919</v>
      </c>
      <c r="BI4" t="s">
        <v>1266</v>
      </c>
      <c r="BJ4" t="s">
        <v>1267</v>
      </c>
      <c r="BK4" t="s">
        <v>841</v>
      </c>
      <c r="BL4" t="s">
        <v>918</v>
      </c>
      <c r="BM4" t="s">
        <v>1268</v>
      </c>
    </row>
    <row r="5" spans="1:65" x14ac:dyDescent="0.25">
      <c r="B5" t="s">
        <v>921</v>
      </c>
      <c r="D5" t="s">
        <v>1269</v>
      </c>
      <c r="F5" t="s">
        <v>1270</v>
      </c>
      <c r="G5" t="s">
        <v>1271</v>
      </c>
      <c r="H5" t="s">
        <v>1272</v>
      </c>
      <c r="I5" t="s">
        <v>1273</v>
      </c>
      <c r="J5" t="s">
        <v>1274</v>
      </c>
      <c r="K5" t="s">
        <v>1275</v>
      </c>
      <c r="L5" t="s">
        <v>1276</v>
      </c>
      <c r="M5" t="s">
        <v>1277</v>
      </c>
      <c r="N5" t="s">
        <v>1278</v>
      </c>
      <c r="O5" t="s">
        <v>1279</v>
      </c>
      <c r="P5" t="s">
        <v>1138</v>
      </c>
      <c r="R5" t="s">
        <v>550</v>
      </c>
      <c r="S5" t="s">
        <v>1280</v>
      </c>
      <c r="T5" t="s">
        <v>1281</v>
      </c>
      <c r="U5" t="s">
        <v>1282</v>
      </c>
      <c r="W5" t="s">
        <v>1283</v>
      </c>
      <c r="X5" t="s">
        <v>550</v>
      </c>
      <c r="Y5" t="s">
        <v>1284</v>
      </c>
      <c r="Z5" t="s">
        <v>1285</v>
      </c>
      <c r="AA5" t="s">
        <v>1286</v>
      </c>
      <c r="AB5" t="s">
        <v>1287</v>
      </c>
      <c r="AC5" t="s">
        <v>1288</v>
      </c>
      <c r="AD5" t="s">
        <v>1289</v>
      </c>
      <c r="AE5" t="s">
        <v>1290</v>
      </c>
      <c r="AF5" t="s">
        <v>1281</v>
      </c>
      <c r="AG5" t="s">
        <v>1291</v>
      </c>
      <c r="AI5" t="s">
        <v>550</v>
      </c>
      <c r="AJ5" t="s">
        <v>1281</v>
      </c>
      <c r="AK5" t="s">
        <v>1292</v>
      </c>
      <c r="AM5" t="s">
        <v>550</v>
      </c>
      <c r="AN5" t="s">
        <v>1293</v>
      </c>
      <c r="AO5" t="s">
        <v>1294</v>
      </c>
      <c r="AQ5" t="s">
        <v>1295</v>
      </c>
      <c r="AS5" t="s">
        <v>1281</v>
      </c>
      <c r="AT5" t="s">
        <v>1296</v>
      </c>
      <c r="AU5" t="s">
        <v>1297</v>
      </c>
      <c r="AV5" t="s">
        <v>1281</v>
      </c>
      <c r="AW5" t="s">
        <v>1298</v>
      </c>
      <c r="AX5" t="s">
        <v>1299</v>
      </c>
      <c r="AY5" t="s">
        <v>1300</v>
      </c>
      <c r="AZ5" t="s">
        <v>1301</v>
      </c>
      <c r="BA5" t="s">
        <v>1302</v>
      </c>
      <c r="BB5" t="s">
        <v>1281</v>
      </c>
      <c r="BC5" t="s">
        <v>1270</v>
      </c>
      <c r="BD5" t="s">
        <v>1303</v>
      </c>
      <c r="BG5" t="s">
        <v>1288</v>
      </c>
      <c r="BI5" t="s">
        <v>1304</v>
      </c>
      <c r="BJ5" t="s">
        <v>1305</v>
      </c>
      <c r="BK5" t="s">
        <v>550</v>
      </c>
    </row>
    <row r="6" spans="1:65" x14ac:dyDescent="0.25">
      <c r="B6" t="s">
        <v>920</v>
      </c>
      <c r="D6" t="s">
        <v>1306</v>
      </c>
      <c r="F6" t="s">
        <v>1307</v>
      </c>
      <c r="G6" t="s">
        <v>1308</v>
      </c>
      <c r="H6" t="s">
        <v>1309</v>
      </c>
      <c r="I6" t="s">
        <v>915</v>
      </c>
      <c r="J6" t="s">
        <v>1310</v>
      </c>
      <c r="K6" t="s">
        <v>1311</v>
      </c>
      <c r="L6" t="s">
        <v>1312</v>
      </c>
      <c r="M6" t="s">
        <v>1313</v>
      </c>
      <c r="N6" t="s">
        <v>1314</v>
      </c>
      <c r="O6" t="s">
        <v>1315</v>
      </c>
      <c r="S6" t="s">
        <v>1316</v>
      </c>
      <c r="T6" t="s">
        <v>1072</v>
      </c>
      <c r="U6" t="s">
        <v>1317</v>
      </c>
      <c r="W6" t="s">
        <v>1318</v>
      </c>
      <c r="Y6" t="s">
        <v>1319</v>
      </c>
      <c r="Z6" t="s">
        <v>1320</v>
      </c>
      <c r="AA6" t="s">
        <v>1321</v>
      </c>
      <c r="AB6" t="s">
        <v>1322</v>
      </c>
      <c r="AD6" t="s">
        <v>1323</v>
      </c>
      <c r="AE6" t="s">
        <v>1013</v>
      </c>
      <c r="AF6" t="s">
        <v>1072</v>
      </c>
      <c r="AJ6" t="s">
        <v>1072</v>
      </c>
      <c r="AK6" t="s">
        <v>1324</v>
      </c>
      <c r="AN6" t="s">
        <v>1325</v>
      </c>
      <c r="AO6" t="s">
        <v>1095</v>
      </c>
      <c r="AQ6" t="s">
        <v>1326</v>
      </c>
      <c r="AS6" t="s">
        <v>1072</v>
      </c>
      <c r="AT6" t="s">
        <v>1327</v>
      </c>
      <c r="AU6" t="s">
        <v>1328</v>
      </c>
      <c r="AV6" t="s">
        <v>1072</v>
      </c>
      <c r="AW6" t="s">
        <v>1329</v>
      </c>
      <c r="AX6" t="s">
        <v>1330</v>
      </c>
      <c r="AY6" t="s">
        <v>1331</v>
      </c>
      <c r="AZ6" t="s">
        <v>1332</v>
      </c>
      <c r="BB6" t="s">
        <v>1072</v>
      </c>
      <c r="BC6" t="s">
        <v>1307</v>
      </c>
      <c r="BD6" t="s">
        <v>1333</v>
      </c>
      <c r="BI6" t="s">
        <v>1334</v>
      </c>
      <c r="BJ6" t="s">
        <v>1335</v>
      </c>
    </row>
    <row r="7" spans="1:65" x14ac:dyDescent="0.25">
      <c r="B7" t="s">
        <v>1336</v>
      </c>
      <c r="D7" t="s">
        <v>1337</v>
      </c>
      <c r="F7" t="s">
        <v>1338</v>
      </c>
      <c r="G7" t="s">
        <v>1339</v>
      </c>
      <c r="I7" t="s">
        <v>1340</v>
      </c>
      <c r="J7" t="s">
        <v>979</v>
      </c>
      <c r="K7" t="s">
        <v>1341</v>
      </c>
      <c r="L7" t="s">
        <v>1342</v>
      </c>
      <c r="M7" t="s">
        <v>1343</v>
      </c>
      <c r="N7" t="s">
        <v>1344</v>
      </c>
      <c r="S7" t="s">
        <v>1345</v>
      </c>
      <c r="T7" t="s">
        <v>1046</v>
      </c>
      <c r="W7" t="s">
        <v>1346</v>
      </c>
      <c r="Z7" t="s">
        <v>1347</v>
      </c>
      <c r="AA7" t="s">
        <v>994</v>
      </c>
      <c r="AB7" t="s">
        <v>1348</v>
      </c>
      <c r="AD7" t="s">
        <v>1349</v>
      </c>
      <c r="AE7" t="s">
        <v>1350</v>
      </c>
      <c r="AF7" t="s">
        <v>1046</v>
      </c>
      <c r="AJ7" t="s">
        <v>1046</v>
      </c>
      <c r="AK7" t="s">
        <v>1351</v>
      </c>
      <c r="AN7" t="s">
        <v>1242</v>
      </c>
      <c r="AO7" t="s">
        <v>1352</v>
      </c>
      <c r="AQ7" t="s">
        <v>1353</v>
      </c>
      <c r="AS7" t="s">
        <v>1046</v>
      </c>
      <c r="AU7" t="s">
        <v>1354</v>
      </c>
      <c r="AV7" t="s">
        <v>1046</v>
      </c>
      <c r="AW7" t="s">
        <v>1355</v>
      </c>
      <c r="AX7" t="s">
        <v>1344</v>
      </c>
      <c r="AY7" t="s">
        <v>1356</v>
      </c>
      <c r="BB7" t="s">
        <v>1046</v>
      </c>
      <c r="BC7" t="s">
        <v>1338</v>
      </c>
      <c r="BD7" t="s">
        <v>1339</v>
      </c>
      <c r="BI7" t="s">
        <v>1357</v>
      </c>
      <c r="BJ7" t="s">
        <v>1358</v>
      </c>
    </row>
    <row r="8" spans="1:65" x14ac:dyDescent="0.25">
      <c r="D8" t="s">
        <v>1359</v>
      </c>
      <c r="F8" t="s">
        <v>1360</v>
      </c>
      <c r="G8" t="s">
        <v>1361</v>
      </c>
      <c r="J8" t="s">
        <v>1362</v>
      </c>
      <c r="K8" t="s">
        <v>1363</v>
      </c>
      <c r="L8" t="s">
        <v>1364</v>
      </c>
      <c r="M8" t="s">
        <v>1365</v>
      </c>
      <c r="N8" t="s">
        <v>1366</v>
      </c>
      <c r="S8" t="s">
        <v>1367</v>
      </c>
      <c r="T8" t="s">
        <v>1097</v>
      </c>
      <c r="W8" t="s">
        <v>1368</v>
      </c>
      <c r="Z8" t="s">
        <v>1369</v>
      </c>
      <c r="AA8" t="s">
        <v>1370</v>
      </c>
      <c r="AB8" t="s">
        <v>1371</v>
      </c>
      <c r="AD8" t="s">
        <v>1372</v>
      </c>
      <c r="AF8" t="s">
        <v>1097</v>
      </c>
      <c r="AJ8" t="s">
        <v>1097</v>
      </c>
      <c r="AK8" t="s">
        <v>1373</v>
      </c>
      <c r="AN8" t="s">
        <v>1374</v>
      </c>
      <c r="AO8" t="s">
        <v>1375</v>
      </c>
      <c r="AQ8" t="s">
        <v>1376</v>
      </c>
      <c r="AS8" t="s">
        <v>1097</v>
      </c>
      <c r="AU8" t="s">
        <v>1377</v>
      </c>
      <c r="AV8" t="s">
        <v>1097</v>
      </c>
      <c r="AW8" t="s">
        <v>1378</v>
      </c>
      <c r="AY8" t="s">
        <v>1379</v>
      </c>
      <c r="BB8" t="s">
        <v>1097</v>
      </c>
      <c r="BC8" t="s">
        <v>1360</v>
      </c>
      <c r="BD8" t="s">
        <v>1134</v>
      </c>
      <c r="BI8" t="s">
        <v>1308</v>
      </c>
      <c r="BJ8" t="s">
        <v>1380</v>
      </c>
    </row>
    <row r="9" spans="1:65" x14ac:dyDescent="0.25">
      <c r="D9" t="s">
        <v>1381</v>
      </c>
      <c r="F9" t="s">
        <v>1382</v>
      </c>
      <c r="G9" t="s">
        <v>1383</v>
      </c>
      <c r="J9" t="s">
        <v>1384</v>
      </c>
      <c r="K9" t="s">
        <v>1385</v>
      </c>
      <c r="L9" t="s">
        <v>1256</v>
      </c>
      <c r="M9" t="s">
        <v>916</v>
      </c>
      <c r="N9" t="s">
        <v>1386</v>
      </c>
      <c r="S9" t="s">
        <v>1387</v>
      </c>
      <c r="T9" t="s">
        <v>1388</v>
      </c>
      <c r="W9" t="s">
        <v>1389</v>
      </c>
      <c r="Z9" t="s">
        <v>1390</v>
      </c>
      <c r="AB9" t="s">
        <v>1391</v>
      </c>
      <c r="AD9" t="s">
        <v>1392</v>
      </c>
      <c r="AF9" t="s">
        <v>1388</v>
      </c>
      <c r="AJ9" t="s">
        <v>1388</v>
      </c>
      <c r="AK9" t="s">
        <v>1393</v>
      </c>
      <c r="AN9" t="s">
        <v>1394</v>
      </c>
      <c r="AO9" t="s">
        <v>1395</v>
      </c>
      <c r="AQ9" t="s">
        <v>1396</v>
      </c>
      <c r="AS9" t="s">
        <v>1388</v>
      </c>
      <c r="AU9" t="s">
        <v>956</v>
      </c>
      <c r="AV9" t="s">
        <v>1388</v>
      </c>
      <c r="AW9" t="s">
        <v>1397</v>
      </c>
      <c r="AY9" t="s">
        <v>1398</v>
      </c>
      <c r="BB9" t="s">
        <v>1388</v>
      </c>
      <c r="BC9" t="s">
        <v>1382</v>
      </c>
      <c r="BD9" t="s">
        <v>1399</v>
      </c>
      <c r="BI9" t="s">
        <v>1400</v>
      </c>
      <c r="BJ9" t="s">
        <v>1401</v>
      </c>
    </row>
    <row r="10" spans="1:65" x14ac:dyDescent="0.25">
      <c r="D10" t="s">
        <v>1402</v>
      </c>
      <c r="F10" t="s">
        <v>1403</v>
      </c>
      <c r="G10" t="s">
        <v>1404</v>
      </c>
      <c r="J10" t="s">
        <v>1405</v>
      </c>
      <c r="K10" t="s">
        <v>1406</v>
      </c>
      <c r="L10" t="s">
        <v>1407</v>
      </c>
      <c r="M10" t="s">
        <v>1408</v>
      </c>
      <c r="N10" t="s">
        <v>1409</v>
      </c>
      <c r="S10" t="s">
        <v>1410</v>
      </c>
      <c r="T10" t="s">
        <v>1411</v>
      </c>
      <c r="W10" t="s">
        <v>982</v>
      </c>
      <c r="Z10" t="s">
        <v>1412</v>
      </c>
      <c r="AB10" t="s">
        <v>1413</v>
      </c>
      <c r="AD10" t="s">
        <v>1414</v>
      </c>
      <c r="AF10" t="s">
        <v>1411</v>
      </c>
      <c r="AJ10" t="s">
        <v>1411</v>
      </c>
      <c r="AK10" t="s">
        <v>1415</v>
      </c>
      <c r="AN10" t="s">
        <v>1416</v>
      </c>
      <c r="AO10" t="s">
        <v>1417</v>
      </c>
      <c r="AQ10" t="s">
        <v>1418</v>
      </c>
      <c r="AS10" t="s">
        <v>1411</v>
      </c>
      <c r="AV10" t="s">
        <v>1411</v>
      </c>
      <c r="AW10" t="s">
        <v>1419</v>
      </c>
      <c r="AY10" t="s">
        <v>1420</v>
      </c>
      <c r="BB10" t="s">
        <v>1411</v>
      </c>
      <c r="BC10" t="s">
        <v>1403</v>
      </c>
      <c r="BD10" t="s">
        <v>1421</v>
      </c>
      <c r="BI10" t="s">
        <v>1422</v>
      </c>
      <c r="BJ10" t="s">
        <v>1423</v>
      </c>
    </row>
    <row r="11" spans="1:65" x14ac:dyDescent="0.25">
      <c r="D11" t="s">
        <v>1424</v>
      </c>
      <c r="F11" t="s">
        <v>1425</v>
      </c>
      <c r="G11" t="s">
        <v>1426</v>
      </c>
      <c r="J11" t="s">
        <v>1427</v>
      </c>
      <c r="K11" t="s">
        <v>1428</v>
      </c>
      <c r="L11" t="s">
        <v>1429</v>
      </c>
      <c r="M11" t="s">
        <v>1430</v>
      </c>
      <c r="S11" t="s">
        <v>1431</v>
      </c>
      <c r="T11" t="s">
        <v>1432</v>
      </c>
      <c r="W11" t="s">
        <v>1433</v>
      </c>
      <c r="Z11" t="s">
        <v>1434</v>
      </c>
      <c r="AB11" t="s">
        <v>1435</v>
      </c>
      <c r="AD11" t="s">
        <v>1436</v>
      </c>
      <c r="AF11" t="s">
        <v>1432</v>
      </c>
      <c r="AJ11" t="s">
        <v>1432</v>
      </c>
      <c r="AK11" t="s">
        <v>1437</v>
      </c>
      <c r="AN11" t="s">
        <v>1438</v>
      </c>
      <c r="AO11" t="s">
        <v>1439</v>
      </c>
      <c r="AQ11" t="s">
        <v>548</v>
      </c>
      <c r="AS11" t="s">
        <v>1432</v>
      </c>
      <c r="AV11" t="s">
        <v>1432</v>
      </c>
      <c r="AW11" t="s">
        <v>1440</v>
      </c>
      <c r="AY11" t="s">
        <v>1441</v>
      </c>
      <c r="BB11" t="s">
        <v>1432</v>
      </c>
      <c r="BC11" t="s">
        <v>1425</v>
      </c>
      <c r="BD11" t="s">
        <v>1442</v>
      </c>
      <c r="BI11" t="s">
        <v>1443</v>
      </c>
    </row>
    <row r="12" spans="1:65" x14ac:dyDescent="0.25">
      <c r="D12" t="s">
        <v>1444</v>
      </c>
      <c r="F12" t="s">
        <v>1445</v>
      </c>
      <c r="G12" t="s">
        <v>1446</v>
      </c>
      <c r="J12" t="s">
        <v>1447</v>
      </c>
      <c r="K12" t="s">
        <v>1448</v>
      </c>
      <c r="L12" t="s">
        <v>1449</v>
      </c>
      <c r="S12" t="s">
        <v>1450</v>
      </c>
      <c r="W12" t="s">
        <v>1451</v>
      </c>
      <c r="Z12" t="s">
        <v>1452</v>
      </c>
      <c r="AD12" t="s">
        <v>1453</v>
      </c>
      <c r="AK12" t="s">
        <v>1454</v>
      </c>
      <c r="AN12" t="s">
        <v>1455</v>
      </c>
      <c r="AO12" t="s">
        <v>1456</v>
      </c>
      <c r="AQ12" t="s">
        <v>1457</v>
      </c>
      <c r="AW12" t="s">
        <v>1458</v>
      </c>
      <c r="AY12" t="s">
        <v>1459</v>
      </c>
      <c r="BC12" t="s">
        <v>1445</v>
      </c>
      <c r="BD12" t="s">
        <v>1460</v>
      </c>
      <c r="BI12" t="s">
        <v>1461</v>
      </c>
    </row>
    <row r="13" spans="1:65" x14ac:dyDescent="0.25">
      <c r="D13" t="s">
        <v>1462</v>
      </c>
      <c r="F13" t="s">
        <v>1463</v>
      </c>
      <c r="J13" t="s">
        <v>1464</v>
      </c>
      <c r="K13" t="s">
        <v>1465</v>
      </c>
      <c r="S13" t="s">
        <v>1466</v>
      </c>
      <c r="W13" t="s">
        <v>1467</v>
      </c>
      <c r="Z13" t="s">
        <v>1468</v>
      </c>
      <c r="AD13" t="s">
        <v>1469</v>
      </c>
      <c r="AK13" t="s">
        <v>1470</v>
      </c>
      <c r="AO13" t="s">
        <v>1471</v>
      </c>
      <c r="AQ13" t="s">
        <v>1472</v>
      </c>
      <c r="AY13" t="s">
        <v>1473</v>
      </c>
      <c r="BC13" t="s">
        <v>1463</v>
      </c>
      <c r="BD13" t="s">
        <v>1474</v>
      </c>
      <c r="BI13" t="s">
        <v>1475</v>
      </c>
    </row>
    <row r="14" spans="1:65" x14ac:dyDescent="0.25">
      <c r="D14" t="s">
        <v>1476</v>
      </c>
      <c r="F14" t="s">
        <v>1477</v>
      </c>
      <c r="J14" t="s">
        <v>1478</v>
      </c>
      <c r="K14" t="s">
        <v>1479</v>
      </c>
      <c r="S14" t="s">
        <v>1480</v>
      </c>
      <c r="W14" t="s">
        <v>1481</v>
      </c>
      <c r="Z14" t="s">
        <v>1482</v>
      </c>
      <c r="AD14" t="s">
        <v>1483</v>
      </c>
      <c r="AO14" t="s">
        <v>1484</v>
      </c>
      <c r="AY14" t="s">
        <v>1485</v>
      </c>
      <c r="BC14" t="s">
        <v>1477</v>
      </c>
      <c r="BD14" t="s">
        <v>1486</v>
      </c>
      <c r="BI14" t="s">
        <v>1487</v>
      </c>
    </row>
    <row r="15" spans="1:65" x14ac:dyDescent="0.25">
      <c r="D15" t="s">
        <v>1488</v>
      </c>
      <c r="F15" t="s">
        <v>1489</v>
      </c>
      <c r="J15" t="s">
        <v>1490</v>
      </c>
      <c r="K15" t="s">
        <v>1491</v>
      </c>
      <c r="S15" t="s">
        <v>1492</v>
      </c>
      <c r="W15" t="s">
        <v>1493</v>
      </c>
      <c r="Z15" t="s">
        <v>1494</v>
      </c>
      <c r="AD15" t="s">
        <v>1495</v>
      </c>
      <c r="AO15" t="s">
        <v>1466</v>
      </c>
      <c r="AY15" t="s">
        <v>1496</v>
      </c>
      <c r="BC15" t="s">
        <v>1489</v>
      </c>
      <c r="BI15" t="s">
        <v>1497</v>
      </c>
    </row>
    <row r="16" spans="1:65" x14ac:dyDescent="0.25">
      <c r="D16" t="s">
        <v>1498</v>
      </c>
      <c r="F16" t="s">
        <v>1499</v>
      </c>
      <c r="J16" t="s">
        <v>1500</v>
      </c>
      <c r="K16" t="s">
        <v>1501</v>
      </c>
      <c r="S16" t="s">
        <v>1502</v>
      </c>
      <c r="W16" t="s">
        <v>1503</v>
      </c>
      <c r="Z16" t="s">
        <v>1504</v>
      </c>
      <c r="AD16" t="s">
        <v>1505</v>
      </c>
      <c r="AO16" t="s">
        <v>1506</v>
      </c>
      <c r="AY16" t="s">
        <v>1507</v>
      </c>
      <c r="BC16" t="s">
        <v>1499</v>
      </c>
      <c r="BI16" t="s">
        <v>1508</v>
      </c>
    </row>
    <row r="17" spans="4:61" x14ac:dyDescent="0.25">
      <c r="D17" t="s">
        <v>1509</v>
      </c>
      <c r="F17" t="s">
        <v>1510</v>
      </c>
      <c r="J17" t="s">
        <v>1511</v>
      </c>
      <c r="K17" t="s">
        <v>1512</v>
      </c>
      <c r="S17" t="s">
        <v>1513</v>
      </c>
      <c r="W17" t="s">
        <v>1514</v>
      </c>
      <c r="AD17" t="s">
        <v>1515</v>
      </c>
      <c r="AO17" t="s">
        <v>1516</v>
      </c>
      <c r="AY17" t="s">
        <v>1517</v>
      </c>
      <c r="BC17" t="s">
        <v>1510</v>
      </c>
      <c r="BI17" t="s">
        <v>992</v>
      </c>
    </row>
    <row r="18" spans="4:61" x14ac:dyDescent="0.25">
      <c r="D18" t="s">
        <v>1518</v>
      </c>
      <c r="F18" t="s">
        <v>1519</v>
      </c>
      <c r="J18" t="s">
        <v>1520</v>
      </c>
      <c r="K18" t="s">
        <v>1521</v>
      </c>
      <c r="S18" t="s">
        <v>1522</v>
      </c>
      <c r="W18" t="s">
        <v>1523</v>
      </c>
      <c r="AD18" t="s">
        <v>1524</v>
      </c>
      <c r="AO18" t="s">
        <v>1278</v>
      </c>
      <c r="AY18" t="s">
        <v>1525</v>
      </c>
      <c r="BC18" t="s">
        <v>1519</v>
      </c>
      <c r="BI18" t="s">
        <v>1526</v>
      </c>
    </row>
    <row r="19" spans="4:61" x14ac:dyDescent="0.25">
      <c r="D19" t="s">
        <v>1527</v>
      </c>
      <c r="F19" t="s">
        <v>1528</v>
      </c>
      <c r="J19" t="s">
        <v>975</v>
      </c>
      <c r="K19" t="s">
        <v>1529</v>
      </c>
      <c r="S19" t="s">
        <v>1530</v>
      </c>
      <c r="W19" t="s">
        <v>1531</v>
      </c>
      <c r="AD19" t="s">
        <v>1532</v>
      </c>
      <c r="AO19" t="s">
        <v>1533</v>
      </c>
      <c r="AY19" t="s">
        <v>1534</v>
      </c>
      <c r="BC19" t="s">
        <v>1528</v>
      </c>
      <c r="BI19" t="s">
        <v>1535</v>
      </c>
    </row>
    <row r="20" spans="4:61" x14ac:dyDescent="0.25">
      <c r="D20" t="s">
        <v>1536</v>
      </c>
      <c r="F20" t="s">
        <v>1537</v>
      </c>
      <c r="J20" t="s">
        <v>1538</v>
      </c>
      <c r="K20" t="s">
        <v>1539</v>
      </c>
      <c r="S20" t="s">
        <v>1540</v>
      </c>
      <c r="W20" t="s">
        <v>1541</v>
      </c>
      <c r="AD20" t="s">
        <v>1542</v>
      </c>
      <c r="AO20" t="s">
        <v>1543</v>
      </c>
      <c r="AY20" t="s">
        <v>1544</v>
      </c>
      <c r="BC20" t="s">
        <v>1537</v>
      </c>
      <c r="BI20" t="s">
        <v>1545</v>
      </c>
    </row>
    <row r="21" spans="4:61" x14ac:dyDescent="0.25">
      <c r="D21" t="s">
        <v>1546</v>
      </c>
      <c r="F21" t="s">
        <v>1547</v>
      </c>
      <c r="J21" t="s">
        <v>1548</v>
      </c>
      <c r="K21" t="s">
        <v>1549</v>
      </c>
      <c r="S21" t="s">
        <v>1550</v>
      </c>
      <c r="AD21" t="s">
        <v>1551</v>
      </c>
      <c r="AO21" t="s">
        <v>1552</v>
      </c>
      <c r="AY21" t="s">
        <v>1553</v>
      </c>
      <c r="BC21" t="s">
        <v>1547</v>
      </c>
    </row>
    <row r="22" spans="4:61" x14ac:dyDescent="0.25">
      <c r="D22" t="s">
        <v>1554</v>
      </c>
      <c r="F22" t="s">
        <v>1555</v>
      </c>
      <c r="J22" t="s">
        <v>1556</v>
      </c>
      <c r="K22" t="s">
        <v>1557</v>
      </c>
      <c r="S22" t="s">
        <v>1558</v>
      </c>
      <c r="AD22" t="s">
        <v>1559</v>
      </c>
      <c r="AO22" t="s">
        <v>1560</v>
      </c>
      <c r="AY22" t="s">
        <v>1561</v>
      </c>
      <c r="BC22" t="s">
        <v>1555</v>
      </c>
    </row>
    <row r="23" spans="4:61" x14ac:dyDescent="0.25">
      <c r="D23" t="s">
        <v>1562</v>
      </c>
      <c r="F23" t="s">
        <v>1563</v>
      </c>
      <c r="J23" t="s">
        <v>1564</v>
      </c>
      <c r="K23" t="s">
        <v>1565</v>
      </c>
      <c r="S23" t="s">
        <v>1566</v>
      </c>
      <c r="AD23" t="s">
        <v>1567</v>
      </c>
      <c r="AO23" t="s">
        <v>1568</v>
      </c>
      <c r="BC23" t="s">
        <v>1563</v>
      </c>
    </row>
    <row r="24" spans="4:61" x14ac:dyDescent="0.25">
      <c r="D24" t="s">
        <v>1569</v>
      </c>
      <c r="F24" t="s">
        <v>1570</v>
      </c>
      <c r="J24" t="s">
        <v>1571</v>
      </c>
      <c r="S24" t="s">
        <v>1572</v>
      </c>
      <c r="AD24" t="s">
        <v>1573</v>
      </c>
      <c r="AO24" t="s">
        <v>1574</v>
      </c>
      <c r="BC24" t="s">
        <v>1570</v>
      </c>
    </row>
    <row r="25" spans="4:61" x14ac:dyDescent="0.25">
      <c r="D25" t="s">
        <v>1575</v>
      </c>
      <c r="F25" t="s">
        <v>1576</v>
      </c>
      <c r="J25" t="s">
        <v>1577</v>
      </c>
      <c r="S25" t="s">
        <v>1578</v>
      </c>
      <c r="AD25" t="s">
        <v>1579</v>
      </c>
      <c r="AO25" t="s">
        <v>1580</v>
      </c>
      <c r="BC25" t="s">
        <v>1576</v>
      </c>
    </row>
    <row r="26" spans="4:61" x14ac:dyDescent="0.25">
      <c r="D26" t="s">
        <v>1581</v>
      </c>
      <c r="F26" t="s">
        <v>1582</v>
      </c>
      <c r="J26" t="s">
        <v>1583</v>
      </c>
      <c r="S26" t="s">
        <v>1584</v>
      </c>
      <c r="AD26" t="s">
        <v>1585</v>
      </c>
      <c r="BC26" t="s">
        <v>1582</v>
      </c>
    </row>
    <row r="27" spans="4:61" x14ac:dyDescent="0.25">
      <c r="D27" t="s">
        <v>1586</v>
      </c>
      <c r="F27" t="s">
        <v>1587</v>
      </c>
      <c r="J27" t="s">
        <v>1588</v>
      </c>
      <c r="S27" t="s">
        <v>1589</v>
      </c>
      <c r="AD27" t="s">
        <v>1590</v>
      </c>
      <c r="BC27" t="s">
        <v>1587</v>
      </c>
    </row>
    <row r="28" spans="4:61" x14ac:dyDescent="0.25">
      <c r="D28" t="s">
        <v>1591</v>
      </c>
      <c r="F28" t="s">
        <v>1592</v>
      </c>
      <c r="J28" t="s">
        <v>1593</v>
      </c>
      <c r="S28" t="s">
        <v>1594</v>
      </c>
      <c r="AD28" t="s">
        <v>1595</v>
      </c>
      <c r="BC28" t="s">
        <v>1592</v>
      </c>
    </row>
    <row r="29" spans="4:61" x14ac:dyDescent="0.25">
      <c r="D29" t="s">
        <v>1596</v>
      </c>
      <c r="F29" t="s">
        <v>1597</v>
      </c>
      <c r="J29" t="s">
        <v>1598</v>
      </c>
      <c r="S29" t="s">
        <v>1599</v>
      </c>
      <c r="AD29" t="s">
        <v>1600</v>
      </c>
      <c r="BC29" t="s">
        <v>1597</v>
      </c>
    </row>
    <row r="30" spans="4:61" x14ac:dyDescent="0.25">
      <c r="D30" t="s">
        <v>1601</v>
      </c>
      <c r="F30" t="s">
        <v>1602</v>
      </c>
      <c r="J30" t="s">
        <v>1603</v>
      </c>
      <c r="S30" t="s">
        <v>1604</v>
      </c>
      <c r="AD30" t="s">
        <v>1605</v>
      </c>
      <c r="BC30" t="s">
        <v>1602</v>
      </c>
    </row>
    <row r="31" spans="4:61" x14ac:dyDescent="0.25">
      <c r="D31" t="s">
        <v>1606</v>
      </c>
      <c r="F31" t="s">
        <v>1607</v>
      </c>
      <c r="J31" t="s">
        <v>1608</v>
      </c>
      <c r="S31" t="s">
        <v>1609</v>
      </c>
      <c r="AD31" t="s">
        <v>1610</v>
      </c>
      <c r="BC31" t="s">
        <v>1607</v>
      </c>
    </row>
    <row r="32" spans="4:61" x14ac:dyDescent="0.25">
      <c r="D32" t="s">
        <v>1611</v>
      </c>
      <c r="F32" t="s">
        <v>1612</v>
      </c>
      <c r="J32" t="s">
        <v>1613</v>
      </c>
      <c r="S32" t="s">
        <v>1614</v>
      </c>
      <c r="AD32" t="s">
        <v>1615</v>
      </c>
      <c r="BC32" t="s">
        <v>1612</v>
      </c>
    </row>
    <row r="33" spans="4:55" x14ac:dyDescent="0.25">
      <c r="D33" t="s">
        <v>1616</v>
      </c>
      <c r="F33" t="s">
        <v>1617</v>
      </c>
      <c r="J33" t="s">
        <v>1618</v>
      </c>
      <c r="S33" t="s">
        <v>1619</v>
      </c>
      <c r="AD33" t="s">
        <v>1620</v>
      </c>
      <c r="BC33" t="s">
        <v>1617</v>
      </c>
    </row>
    <row r="34" spans="4:55" x14ac:dyDescent="0.25">
      <c r="D34" t="s">
        <v>1621</v>
      </c>
      <c r="F34" t="s">
        <v>1622</v>
      </c>
      <c r="J34" t="s">
        <v>984</v>
      </c>
      <c r="S34" t="s">
        <v>1623</v>
      </c>
      <c r="AD34" t="s">
        <v>1624</v>
      </c>
      <c r="BC34" t="s">
        <v>1622</v>
      </c>
    </row>
    <row r="35" spans="4:55" x14ac:dyDescent="0.25">
      <c r="D35" t="s">
        <v>1625</v>
      </c>
      <c r="F35" t="s">
        <v>1626</v>
      </c>
      <c r="J35" t="s">
        <v>1627</v>
      </c>
      <c r="S35" t="s">
        <v>1628</v>
      </c>
      <c r="AD35" t="s">
        <v>1629</v>
      </c>
      <c r="BC35" t="s">
        <v>1626</v>
      </c>
    </row>
    <row r="36" spans="4:55" x14ac:dyDescent="0.25">
      <c r="D36" t="s">
        <v>1630</v>
      </c>
      <c r="F36" t="s">
        <v>1631</v>
      </c>
      <c r="J36" t="s">
        <v>1632</v>
      </c>
      <c r="S36" t="s">
        <v>1633</v>
      </c>
      <c r="AD36" t="s">
        <v>1634</v>
      </c>
      <c r="BC36" t="s">
        <v>1631</v>
      </c>
    </row>
    <row r="37" spans="4:55" x14ac:dyDescent="0.25">
      <c r="D37" t="s">
        <v>1635</v>
      </c>
      <c r="F37" t="s">
        <v>1636</v>
      </c>
      <c r="J37" t="s">
        <v>1637</v>
      </c>
      <c r="AD37" t="s">
        <v>1638</v>
      </c>
      <c r="BC37" t="s">
        <v>1636</v>
      </c>
    </row>
    <row r="38" spans="4:55" x14ac:dyDescent="0.25">
      <c r="D38" t="s">
        <v>1639</v>
      </c>
      <c r="F38" t="s">
        <v>1640</v>
      </c>
      <c r="J38" t="s">
        <v>1641</v>
      </c>
      <c r="AD38" t="s">
        <v>1642</v>
      </c>
      <c r="BC38" t="s">
        <v>1640</v>
      </c>
    </row>
    <row r="39" spans="4:55" x14ac:dyDescent="0.25">
      <c r="D39" t="s">
        <v>1643</v>
      </c>
      <c r="F39" t="s">
        <v>1644</v>
      </c>
      <c r="J39" t="s">
        <v>1645</v>
      </c>
      <c r="AD39" t="s">
        <v>1646</v>
      </c>
      <c r="BC39" t="s">
        <v>1644</v>
      </c>
    </row>
    <row r="40" spans="4:55" x14ac:dyDescent="0.25">
      <c r="D40" t="s">
        <v>1647</v>
      </c>
      <c r="F40" t="s">
        <v>1648</v>
      </c>
      <c r="J40" t="s">
        <v>1649</v>
      </c>
      <c r="AD40" t="s">
        <v>1650</v>
      </c>
      <c r="BC40" t="s">
        <v>1648</v>
      </c>
    </row>
    <row r="41" spans="4:55" x14ac:dyDescent="0.25">
      <c r="D41" t="s">
        <v>1651</v>
      </c>
      <c r="F41" t="s">
        <v>1652</v>
      </c>
      <c r="J41" t="s">
        <v>1653</v>
      </c>
      <c r="AD41" t="s">
        <v>1330</v>
      </c>
      <c r="BC41" t="s">
        <v>1652</v>
      </c>
    </row>
    <row r="42" spans="4:55" x14ac:dyDescent="0.25">
      <c r="D42" t="s">
        <v>1654</v>
      </c>
      <c r="F42" t="s">
        <v>1655</v>
      </c>
      <c r="J42" t="s">
        <v>1656</v>
      </c>
      <c r="AD42" t="s">
        <v>1262</v>
      </c>
      <c r="BC42" t="s">
        <v>1655</v>
      </c>
    </row>
    <row r="43" spans="4:55" x14ac:dyDescent="0.25">
      <c r="D43" t="s">
        <v>1657</v>
      </c>
      <c r="F43" t="s">
        <v>1658</v>
      </c>
      <c r="J43" t="s">
        <v>1659</v>
      </c>
      <c r="AD43" t="s">
        <v>1660</v>
      </c>
      <c r="BC43" t="s">
        <v>1658</v>
      </c>
    </row>
    <row r="44" spans="4:55" x14ac:dyDescent="0.25">
      <c r="D44" t="s">
        <v>1661</v>
      </c>
      <c r="F44" t="s">
        <v>1662</v>
      </c>
      <c r="J44" t="s">
        <v>1663</v>
      </c>
      <c r="AD44" t="s">
        <v>1664</v>
      </c>
      <c r="BC44" t="s">
        <v>1662</v>
      </c>
    </row>
    <row r="45" spans="4:55" x14ac:dyDescent="0.25">
      <c r="D45" t="s">
        <v>1665</v>
      </c>
      <c r="F45" t="s">
        <v>1666</v>
      </c>
      <c r="BC45" t="s">
        <v>1666</v>
      </c>
    </row>
    <row r="46" spans="4:55" x14ac:dyDescent="0.25">
      <c r="D46" t="s">
        <v>1667</v>
      </c>
      <c r="F46" t="s">
        <v>1668</v>
      </c>
      <c r="BC46" t="s">
        <v>1668</v>
      </c>
    </row>
    <row r="47" spans="4:55" x14ac:dyDescent="0.25">
      <c r="D47" t="s">
        <v>1669</v>
      </c>
      <c r="F47" t="s">
        <v>1670</v>
      </c>
      <c r="BC47" t="s">
        <v>1670</v>
      </c>
    </row>
    <row r="48" spans="4:55" x14ac:dyDescent="0.25">
      <c r="D48" t="s">
        <v>1671</v>
      </c>
      <c r="F48" t="s">
        <v>1672</v>
      </c>
      <c r="BC48" t="s">
        <v>1672</v>
      </c>
    </row>
    <row r="49" spans="4:55" x14ac:dyDescent="0.25">
      <c r="D49" t="s">
        <v>1673</v>
      </c>
      <c r="F49" t="s">
        <v>1674</v>
      </c>
      <c r="BC49" t="s">
        <v>1674</v>
      </c>
    </row>
    <row r="50" spans="4:55" x14ac:dyDescent="0.25">
      <c r="D50" t="s">
        <v>1675</v>
      </c>
      <c r="F50" t="s">
        <v>1676</v>
      </c>
      <c r="BC50" t="s">
        <v>1676</v>
      </c>
    </row>
    <row r="51" spans="4:55" x14ac:dyDescent="0.25">
      <c r="D51" t="s">
        <v>1677</v>
      </c>
      <c r="F51" t="s">
        <v>1678</v>
      </c>
      <c r="BC51" t="s">
        <v>1678</v>
      </c>
    </row>
    <row r="52" spans="4:55" x14ac:dyDescent="0.25">
      <c r="D52" t="s">
        <v>1679</v>
      </c>
      <c r="F52" t="s">
        <v>1680</v>
      </c>
      <c r="BC52" t="s">
        <v>1680</v>
      </c>
    </row>
    <row r="53" spans="4:55" x14ac:dyDescent="0.25">
      <c r="D53" t="s">
        <v>1681</v>
      </c>
      <c r="F53" t="s">
        <v>1682</v>
      </c>
      <c r="BC53" t="s">
        <v>1682</v>
      </c>
    </row>
    <row r="54" spans="4:55" x14ac:dyDescent="0.25">
      <c r="D54" t="s">
        <v>1683</v>
      </c>
      <c r="F54" t="s">
        <v>1684</v>
      </c>
      <c r="BC54" t="s">
        <v>1684</v>
      </c>
    </row>
    <row r="55" spans="4:55" x14ac:dyDescent="0.25">
      <c r="D55" t="s">
        <v>1685</v>
      </c>
      <c r="F55" t="s">
        <v>1686</v>
      </c>
      <c r="BC55" t="s">
        <v>1686</v>
      </c>
    </row>
    <row r="56" spans="4:55" x14ac:dyDescent="0.25">
      <c r="D56" t="s">
        <v>1687</v>
      </c>
      <c r="F56" t="s">
        <v>1688</v>
      </c>
      <c r="BC56" t="s">
        <v>1688</v>
      </c>
    </row>
    <row r="57" spans="4:55" x14ac:dyDescent="0.25">
      <c r="D57" t="s">
        <v>1689</v>
      </c>
      <c r="F57" t="s">
        <v>1690</v>
      </c>
      <c r="BC57" t="s">
        <v>1690</v>
      </c>
    </row>
    <row r="58" spans="4:55" x14ac:dyDescent="0.25">
      <c r="D58" t="s">
        <v>1691</v>
      </c>
      <c r="F58" t="s">
        <v>1692</v>
      </c>
      <c r="BC58" t="s">
        <v>1692</v>
      </c>
    </row>
    <row r="59" spans="4:55" x14ac:dyDescent="0.25">
      <c r="D59" t="s">
        <v>1693</v>
      </c>
      <c r="F59" t="s">
        <v>1694</v>
      </c>
      <c r="BC59" t="s">
        <v>1694</v>
      </c>
    </row>
    <row r="60" spans="4:55" x14ac:dyDescent="0.25">
      <c r="D60" t="s">
        <v>1695</v>
      </c>
      <c r="F60" t="s">
        <v>1696</v>
      </c>
      <c r="BC60" t="s">
        <v>1696</v>
      </c>
    </row>
    <row r="61" spans="4:55" x14ac:dyDescent="0.25">
      <c r="D61" t="s">
        <v>1697</v>
      </c>
      <c r="F61" t="s">
        <v>1698</v>
      </c>
      <c r="BC61" t="s">
        <v>1698</v>
      </c>
    </row>
    <row r="62" spans="4:55" x14ac:dyDescent="0.25">
      <c r="D62" t="s">
        <v>1699</v>
      </c>
      <c r="F62" t="s">
        <v>1700</v>
      </c>
      <c r="BC62" t="s">
        <v>1700</v>
      </c>
    </row>
    <row r="63" spans="4:55" x14ac:dyDescent="0.25">
      <c r="D63" t="s">
        <v>1701</v>
      </c>
      <c r="F63" t="s">
        <v>1702</v>
      </c>
      <c r="BC63" t="s">
        <v>1702</v>
      </c>
    </row>
    <row r="64" spans="4:55" x14ac:dyDescent="0.25">
      <c r="D64" t="s">
        <v>1703</v>
      </c>
      <c r="F64" t="s">
        <v>1704</v>
      </c>
      <c r="BC64" t="s">
        <v>1704</v>
      </c>
    </row>
    <row r="65" spans="4:55" x14ac:dyDescent="0.25">
      <c r="D65" t="s">
        <v>1705</v>
      </c>
      <c r="F65" t="s">
        <v>1706</v>
      </c>
      <c r="BC65" t="s">
        <v>1706</v>
      </c>
    </row>
    <row r="66" spans="4:55" x14ac:dyDescent="0.25">
      <c r="D66" t="s">
        <v>1707</v>
      </c>
      <c r="F66" t="s">
        <v>1708</v>
      </c>
      <c r="BC66" t="s">
        <v>1708</v>
      </c>
    </row>
    <row r="67" spans="4:55" x14ac:dyDescent="0.25">
      <c r="D67" t="s">
        <v>1709</v>
      </c>
      <c r="F67" t="s">
        <v>1710</v>
      </c>
      <c r="BC67" t="s">
        <v>1710</v>
      </c>
    </row>
    <row r="68" spans="4:55" x14ac:dyDescent="0.25">
      <c r="D68" t="s">
        <v>1711</v>
      </c>
      <c r="F68" t="s">
        <v>1712</v>
      </c>
      <c r="BC68" t="s">
        <v>1712</v>
      </c>
    </row>
    <row r="69" spans="4:55" x14ac:dyDescent="0.25">
      <c r="D69" t="s">
        <v>1713</v>
      </c>
      <c r="F69" t="s">
        <v>1714</v>
      </c>
      <c r="BC69" t="s">
        <v>1714</v>
      </c>
    </row>
    <row r="70" spans="4:55" x14ac:dyDescent="0.25">
      <c r="D70" t="s">
        <v>1715</v>
      </c>
      <c r="F70" t="s">
        <v>1716</v>
      </c>
      <c r="BC70" t="s">
        <v>1716</v>
      </c>
    </row>
    <row r="71" spans="4:55" x14ac:dyDescent="0.25">
      <c r="D71" t="s">
        <v>1717</v>
      </c>
      <c r="F71" t="s">
        <v>1718</v>
      </c>
      <c r="BC71" t="s">
        <v>1718</v>
      </c>
    </row>
    <row r="72" spans="4:55" x14ac:dyDescent="0.25">
      <c r="D72" t="s">
        <v>1719</v>
      </c>
      <c r="F72" t="s">
        <v>1720</v>
      </c>
      <c r="BC72" t="s">
        <v>1720</v>
      </c>
    </row>
    <row r="73" spans="4:55" x14ac:dyDescent="0.25">
      <c r="D73" t="s">
        <v>1721</v>
      </c>
      <c r="F73" t="s">
        <v>1722</v>
      </c>
      <c r="BC73" t="s">
        <v>1722</v>
      </c>
    </row>
    <row r="74" spans="4:55" x14ac:dyDescent="0.25">
      <c r="D74" t="s">
        <v>1723</v>
      </c>
      <c r="F74" t="s">
        <v>1724</v>
      </c>
      <c r="BC74" t="s">
        <v>1724</v>
      </c>
    </row>
    <row r="75" spans="4:55" x14ac:dyDescent="0.25">
      <c r="D75" t="s">
        <v>1725</v>
      </c>
      <c r="F75" t="s">
        <v>1726</v>
      </c>
      <c r="BC75" t="s">
        <v>1726</v>
      </c>
    </row>
    <row r="76" spans="4:55" x14ac:dyDescent="0.25">
      <c r="D76" t="s">
        <v>1727</v>
      </c>
      <c r="F76" t="s">
        <v>1728</v>
      </c>
      <c r="BC76" t="s">
        <v>1728</v>
      </c>
    </row>
    <row r="77" spans="4:55" x14ac:dyDescent="0.25">
      <c r="D77" t="s">
        <v>1729</v>
      </c>
      <c r="F77" t="s">
        <v>1730</v>
      </c>
      <c r="BC77" t="s">
        <v>1730</v>
      </c>
    </row>
    <row r="78" spans="4:55" x14ac:dyDescent="0.25">
      <c r="D78" t="s">
        <v>1731</v>
      </c>
      <c r="F78" t="s">
        <v>1732</v>
      </c>
      <c r="BC78" t="s">
        <v>1732</v>
      </c>
    </row>
    <row r="79" spans="4:55" x14ac:dyDescent="0.25">
      <c r="D79" t="s">
        <v>1733</v>
      </c>
      <c r="F79" t="s">
        <v>1734</v>
      </c>
      <c r="BC79" t="s">
        <v>1734</v>
      </c>
    </row>
    <row r="80" spans="4:55" x14ac:dyDescent="0.25">
      <c r="D80" t="s">
        <v>1735</v>
      </c>
      <c r="F80" t="s">
        <v>1736</v>
      </c>
      <c r="BC80" t="s">
        <v>1736</v>
      </c>
    </row>
    <row r="81" spans="4:55" x14ac:dyDescent="0.25">
      <c r="D81" t="s">
        <v>1737</v>
      </c>
      <c r="F81" t="s">
        <v>1738</v>
      </c>
      <c r="BC81" t="s">
        <v>1738</v>
      </c>
    </row>
    <row r="82" spans="4:55" x14ac:dyDescent="0.25">
      <c r="D82" t="s">
        <v>1739</v>
      </c>
      <c r="F82" t="s">
        <v>1740</v>
      </c>
      <c r="BC82" t="s">
        <v>1740</v>
      </c>
    </row>
    <row r="83" spans="4:55" x14ac:dyDescent="0.25">
      <c r="D83" t="s">
        <v>1741</v>
      </c>
      <c r="F83" t="s">
        <v>1742</v>
      </c>
      <c r="BC83" t="s">
        <v>1742</v>
      </c>
    </row>
    <row r="84" spans="4:55" x14ac:dyDescent="0.25">
      <c r="D84" t="s">
        <v>1743</v>
      </c>
      <c r="F84" t="s">
        <v>1744</v>
      </c>
      <c r="BC84" t="s">
        <v>1744</v>
      </c>
    </row>
    <row r="85" spans="4:55" x14ac:dyDescent="0.25">
      <c r="D85" t="s">
        <v>1745</v>
      </c>
      <c r="F85" t="s">
        <v>1278</v>
      </c>
      <c r="BC85" t="s">
        <v>1278</v>
      </c>
    </row>
    <row r="86" spans="4:55" x14ac:dyDescent="0.25">
      <c r="D86" t="s">
        <v>1746</v>
      </c>
      <c r="F86" t="s">
        <v>1747</v>
      </c>
      <c r="BC86" t="s">
        <v>1747</v>
      </c>
    </row>
    <row r="87" spans="4:55" x14ac:dyDescent="0.25">
      <c r="D87" t="s">
        <v>1748</v>
      </c>
      <c r="F87" t="s">
        <v>1749</v>
      </c>
      <c r="BC87" t="s">
        <v>1749</v>
      </c>
    </row>
    <row r="88" spans="4:55" x14ac:dyDescent="0.25">
      <c r="D88" t="s">
        <v>1750</v>
      </c>
      <c r="F88" t="s">
        <v>1751</v>
      </c>
      <c r="BC88" t="s">
        <v>1751</v>
      </c>
    </row>
    <row r="89" spans="4:55" x14ac:dyDescent="0.25">
      <c r="D89" t="s">
        <v>1752</v>
      </c>
      <c r="F89" t="s">
        <v>1753</v>
      </c>
      <c r="BC89" t="s">
        <v>1753</v>
      </c>
    </row>
    <row r="90" spans="4:55" x14ac:dyDescent="0.25">
      <c r="D90" t="s">
        <v>1754</v>
      </c>
      <c r="F90" t="s">
        <v>1755</v>
      </c>
      <c r="BC90" t="s">
        <v>1755</v>
      </c>
    </row>
    <row r="91" spans="4:55" x14ac:dyDescent="0.25">
      <c r="D91" t="s">
        <v>1756</v>
      </c>
      <c r="F91" t="s">
        <v>1757</v>
      </c>
      <c r="BC91" t="s">
        <v>1757</v>
      </c>
    </row>
    <row r="92" spans="4:55" x14ac:dyDescent="0.25">
      <c r="D92" t="s">
        <v>1758</v>
      </c>
      <c r="F92" t="s">
        <v>1759</v>
      </c>
      <c r="BC92" t="s">
        <v>1759</v>
      </c>
    </row>
    <row r="93" spans="4:55" x14ac:dyDescent="0.25">
      <c r="D93" t="s">
        <v>1760</v>
      </c>
      <c r="F93" t="s">
        <v>1761</v>
      </c>
      <c r="BC93" t="s">
        <v>1761</v>
      </c>
    </row>
    <row r="94" spans="4:55" x14ac:dyDescent="0.25">
      <c r="D94" t="s">
        <v>1762</v>
      </c>
      <c r="F94" t="s">
        <v>1763</v>
      </c>
      <c r="BC94" t="s">
        <v>1763</v>
      </c>
    </row>
    <row r="95" spans="4:55" x14ac:dyDescent="0.25">
      <c r="D95" t="s">
        <v>1764</v>
      </c>
      <c r="F95" t="s">
        <v>1765</v>
      </c>
      <c r="BC95" t="s">
        <v>1765</v>
      </c>
    </row>
    <row r="96" spans="4:55" x14ac:dyDescent="0.25">
      <c r="D96" t="s">
        <v>1766</v>
      </c>
      <c r="F96" t="s">
        <v>1767</v>
      </c>
      <c r="BC96" t="s">
        <v>1767</v>
      </c>
    </row>
    <row r="97" spans="4:55" x14ac:dyDescent="0.25">
      <c r="D97" t="s">
        <v>1768</v>
      </c>
      <c r="F97" t="s">
        <v>1769</v>
      </c>
      <c r="BC97" t="s">
        <v>1769</v>
      </c>
    </row>
    <row r="98" spans="4:55" x14ac:dyDescent="0.25">
      <c r="D98" t="s">
        <v>1770</v>
      </c>
      <c r="F98" t="s">
        <v>1771</v>
      </c>
      <c r="BC98" t="s">
        <v>1771</v>
      </c>
    </row>
    <row r="99" spans="4:55" x14ac:dyDescent="0.25">
      <c r="D99" t="s">
        <v>1772</v>
      </c>
      <c r="F99" t="s">
        <v>1567</v>
      </c>
      <c r="BC99" t="s">
        <v>1567</v>
      </c>
    </row>
    <row r="100" spans="4:55" x14ac:dyDescent="0.25">
      <c r="D100" t="s">
        <v>1773</v>
      </c>
      <c r="F100" t="s">
        <v>1774</v>
      </c>
      <c r="BC100" t="s">
        <v>1774</v>
      </c>
    </row>
    <row r="101" spans="4:55" x14ac:dyDescent="0.25">
      <c r="D101" t="s">
        <v>1775</v>
      </c>
      <c r="F101" t="s">
        <v>1776</v>
      </c>
      <c r="BC101" t="s">
        <v>1776</v>
      </c>
    </row>
    <row r="102" spans="4:55" x14ac:dyDescent="0.25">
      <c r="D102" t="s">
        <v>1777</v>
      </c>
      <c r="F102" t="s">
        <v>1778</v>
      </c>
      <c r="BC102" t="s">
        <v>1778</v>
      </c>
    </row>
    <row r="103" spans="4:55" x14ac:dyDescent="0.25">
      <c r="D103" t="s">
        <v>1779</v>
      </c>
      <c r="F103" t="s">
        <v>1780</v>
      </c>
      <c r="BC103" t="s">
        <v>1780</v>
      </c>
    </row>
    <row r="104" spans="4:55" x14ac:dyDescent="0.25">
      <c r="D104" t="s">
        <v>1781</v>
      </c>
      <c r="F104" t="s">
        <v>1782</v>
      </c>
      <c r="BC104" t="s">
        <v>1782</v>
      </c>
    </row>
    <row r="105" spans="4:55" x14ac:dyDescent="0.25">
      <c r="D105" t="s">
        <v>1783</v>
      </c>
      <c r="F105" t="s">
        <v>1784</v>
      </c>
      <c r="BC105" t="s">
        <v>1784</v>
      </c>
    </row>
    <row r="106" spans="4:55" x14ac:dyDescent="0.25">
      <c r="D106" t="s">
        <v>1785</v>
      </c>
      <c r="F106" t="s">
        <v>1786</v>
      </c>
      <c r="BC106" t="s">
        <v>1786</v>
      </c>
    </row>
    <row r="107" spans="4:55" x14ac:dyDescent="0.25">
      <c r="D107" t="s">
        <v>1787</v>
      </c>
      <c r="F107" t="s">
        <v>1788</v>
      </c>
      <c r="BC107" t="s">
        <v>1788</v>
      </c>
    </row>
    <row r="108" spans="4:55" x14ac:dyDescent="0.25">
      <c r="D108" t="s">
        <v>1789</v>
      </c>
      <c r="F108" t="s">
        <v>1790</v>
      </c>
      <c r="BC108" t="s">
        <v>1790</v>
      </c>
    </row>
    <row r="109" spans="4:55" x14ac:dyDescent="0.25">
      <c r="D109" t="s">
        <v>1791</v>
      </c>
      <c r="F109" t="s">
        <v>1792</v>
      </c>
      <c r="BC109" t="s">
        <v>1792</v>
      </c>
    </row>
    <row r="110" spans="4:55" x14ac:dyDescent="0.25">
      <c r="D110" t="s">
        <v>1793</v>
      </c>
      <c r="F110" t="s">
        <v>1794</v>
      </c>
      <c r="BC110" t="s">
        <v>1794</v>
      </c>
    </row>
    <row r="111" spans="4:55" x14ac:dyDescent="0.25">
      <c r="D111" t="s">
        <v>1795</v>
      </c>
      <c r="F111" t="s">
        <v>1796</v>
      </c>
      <c r="BC111" t="s">
        <v>1796</v>
      </c>
    </row>
    <row r="112" spans="4:55" x14ac:dyDescent="0.25">
      <c r="D112" t="s">
        <v>1797</v>
      </c>
      <c r="F112" t="s">
        <v>1798</v>
      </c>
      <c r="BC112" t="s">
        <v>1798</v>
      </c>
    </row>
    <row r="113" spans="4:55" x14ac:dyDescent="0.25">
      <c r="D113" t="s">
        <v>1799</v>
      </c>
      <c r="F113" t="s">
        <v>1800</v>
      </c>
      <c r="BC113" t="s">
        <v>1800</v>
      </c>
    </row>
    <row r="114" spans="4:55" x14ac:dyDescent="0.25">
      <c r="D114" t="s">
        <v>1801</v>
      </c>
      <c r="F114" t="s">
        <v>1802</v>
      </c>
      <c r="BC114" t="s">
        <v>1802</v>
      </c>
    </row>
    <row r="115" spans="4:55" x14ac:dyDescent="0.25">
      <c r="D115" t="s">
        <v>1803</v>
      </c>
      <c r="F115" t="s">
        <v>1804</v>
      </c>
      <c r="BC115" t="s">
        <v>1804</v>
      </c>
    </row>
    <row r="116" spans="4:55" x14ac:dyDescent="0.25">
      <c r="D116" t="s">
        <v>1805</v>
      </c>
      <c r="F116" t="s">
        <v>1806</v>
      </c>
      <c r="BC116" t="s">
        <v>1806</v>
      </c>
    </row>
    <row r="117" spans="4:55" x14ac:dyDescent="0.25">
      <c r="D117" t="s">
        <v>1807</v>
      </c>
      <c r="F117" t="s">
        <v>1808</v>
      </c>
      <c r="BC117" t="s">
        <v>1808</v>
      </c>
    </row>
    <row r="118" spans="4:55" x14ac:dyDescent="0.25">
      <c r="D118" t="s">
        <v>1809</v>
      </c>
      <c r="F118" t="s">
        <v>1810</v>
      </c>
      <c r="BC118" t="s">
        <v>1810</v>
      </c>
    </row>
    <row r="119" spans="4:55" x14ac:dyDescent="0.25">
      <c r="D119" t="s">
        <v>1811</v>
      </c>
      <c r="F119" t="s">
        <v>1812</v>
      </c>
      <c r="BC119" t="s">
        <v>1812</v>
      </c>
    </row>
    <row r="120" spans="4:55" x14ac:dyDescent="0.25">
      <c r="D120" t="s">
        <v>1813</v>
      </c>
      <c r="F120" t="s">
        <v>1814</v>
      </c>
      <c r="BC120" t="s">
        <v>1814</v>
      </c>
    </row>
    <row r="121" spans="4:55" x14ac:dyDescent="0.25">
      <c r="D121" t="s">
        <v>1815</v>
      </c>
      <c r="F121" t="s">
        <v>1816</v>
      </c>
      <c r="BC121" t="s">
        <v>1816</v>
      </c>
    </row>
    <row r="122" spans="4:55" x14ac:dyDescent="0.25">
      <c r="D122" t="s">
        <v>1817</v>
      </c>
      <c r="F122" t="s">
        <v>1818</v>
      </c>
      <c r="BC122" t="s">
        <v>1818</v>
      </c>
    </row>
    <row r="123" spans="4:55" x14ac:dyDescent="0.25">
      <c r="D123" t="s">
        <v>1819</v>
      </c>
      <c r="F123" t="s">
        <v>1820</v>
      </c>
      <c r="BC123" t="s">
        <v>1820</v>
      </c>
    </row>
    <row r="124" spans="4:55" x14ac:dyDescent="0.25">
      <c r="D124" t="s">
        <v>1821</v>
      </c>
      <c r="F124" t="s">
        <v>1822</v>
      </c>
      <c r="BC124" t="s">
        <v>1822</v>
      </c>
    </row>
    <row r="125" spans="4:55" x14ac:dyDescent="0.25">
      <c r="D125" t="s">
        <v>1823</v>
      </c>
      <c r="F125" t="s">
        <v>1824</v>
      </c>
      <c r="BC125" t="s">
        <v>1824</v>
      </c>
    </row>
    <row r="126" spans="4:55" x14ac:dyDescent="0.25">
      <c r="D126" t="s">
        <v>1825</v>
      </c>
      <c r="F126" t="s">
        <v>1826</v>
      </c>
      <c r="BC126" t="s">
        <v>1826</v>
      </c>
    </row>
    <row r="127" spans="4:55" x14ac:dyDescent="0.25">
      <c r="D127" t="s">
        <v>1827</v>
      </c>
      <c r="F127" t="s">
        <v>1828</v>
      </c>
      <c r="BC127" t="s">
        <v>1828</v>
      </c>
    </row>
    <row r="128" spans="4:55" x14ac:dyDescent="0.25">
      <c r="D128" t="s">
        <v>1829</v>
      </c>
      <c r="F128" t="s">
        <v>1830</v>
      </c>
      <c r="BC128" t="s">
        <v>1830</v>
      </c>
    </row>
    <row r="129" spans="4:55" x14ac:dyDescent="0.25">
      <c r="D129" t="s">
        <v>1831</v>
      </c>
      <c r="F129" t="s">
        <v>1832</v>
      </c>
      <c r="BC129" t="s">
        <v>1832</v>
      </c>
    </row>
    <row r="130" spans="4:55" x14ac:dyDescent="0.25">
      <c r="D130" t="s">
        <v>1833</v>
      </c>
      <c r="F130" t="s">
        <v>1834</v>
      </c>
      <c r="BC130" t="s">
        <v>1834</v>
      </c>
    </row>
    <row r="131" spans="4:55" x14ac:dyDescent="0.25">
      <c r="D131" t="s">
        <v>1835</v>
      </c>
      <c r="F131" t="s">
        <v>1836</v>
      </c>
      <c r="BC131" t="s">
        <v>1836</v>
      </c>
    </row>
    <row r="132" spans="4:55" x14ac:dyDescent="0.25">
      <c r="D132" t="s">
        <v>1837</v>
      </c>
      <c r="F132" t="s">
        <v>1838</v>
      </c>
      <c r="BC132" t="s">
        <v>1838</v>
      </c>
    </row>
    <row r="133" spans="4:55" x14ac:dyDescent="0.25">
      <c r="D133" t="s">
        <v>1839</v>
      </c>
      <c r="F133" t="s">
        <v>1840</v>
      </c>
      <c r="BC133" t="s">
        <v>1840</v>
      </c>
    </row>
    <row r="134" spans="4:55" x14ac:dyDescent="0.25">
      <c r="D134" t="s">
        <v>1841</v>
      </c>
      <c r="F134" t="s">
        <v>1842</v>
      </c>
      <c r="BC134" t="s">
        <v>1842</v>
      </c>
    </row>
    <row r="135" spans="4:55" x14ac:dyDescent="0.25">
      <c r="D135" t="s">
        <v>1843</v>
      </c>
      <c r="F135" t="s">
        <v>1844</v>
      </c>
      <c r="BC135" t="s">
        <v>1844</v>
      </c>
    </row>
    <row r="136" spans="4:55" x14ac:dyDescent="0.25">
      <c r="D136" t="s">
        <v>1845</v>
      </c>
      <c r="F136" t="s">
        <v>1846</v>
      </c>
      <c r="BC136" t="s">
        <v>1846</v>
      </c>
    </row>
    <row r="137" spans="4:55" x14ac:dyDescent="0.25">
      <c r="D137" t="s">
        <v>1847</v>
      </c>
      <c r="F137" t="s">
        <v>1848</v>
      </c>
      <c r="BC137" t="s">
        <v>1848</v>
      </c>
    </row>
    <row r="138" spans="4:55" x14ac:dyDescent="0.25">
      <c r="D138" t="s">
        <v>1849</v>
      </c>
      <c r="F138" t="s">
        <v>1850</v>
      </c>
      <c r="BC138" t="s">
        <v>1850</v>
      </c>
    </row>
    <row r="139" spans="4:55" x14ac:dyDescent="0.25">
      <c r="D139" t="s">
        <v>1851</v>
      </c>
      <c r="F139" t="s">
        <v>1852</v>
      </c>
      <c r="BC139" t="s">
        <v>1852</v>
      </c>
    </row>
    <row r="140" spans="4:55" x14ac:dyDescent="0.25">
      <c r="D140" t="s">
        <v>1853</v>
      </c>
      <c r="F140" t="s">
        <v>1854</v>
      </c>
      <c r="BC140" t="s">
        <v>1854</v>
      </c>
    </row>
    <row r="141" spans="4:55" x14ac:dyDescent="0.25">
      <c r="D141" t="s">
        <v>1855</v>
      </c>
      <c r="F141" t="s">
        <v>1856</v>
      </c>
      <c r="BC141" t="s">
        <v>1856</v>
      </c>
    </row>
    <row r="142" spans="4:55" x14ac:dyDescent="0.25">
      <c r="D142" t="s">
        <v>1857</v>
      </c>
      <c r="F142" t="s">
        <v>1858</v>
      </c>
      <c r="BC142" t="s">
        <v>1858</v>
      </c>
    </row>
    <row r="143" spans="4:55" x14ac:dyDescent="0.25">
      <c r="D143" t="s">
        <v>1859</v>
      </c>
      <c r="F143" t="s">
        <v>1860</v>
      </c>
      <c r="BC143" t="s">
        <v>1860</v>
      </c>
    </row>
    <row r="144" spans="4:55" x14ac:dyDescent="0.25">
      <c r="D144" t="s">
        <v>1861</v>
      </c>
      <c r="F144" t="s">
        <v>1862</v>
      </c>
      <c r="BC144" t="s">
        <v>1862</v>
      </c>
    </row>
    <row r="145" spans="4:55" x14ac:dyDescent="0.25">
      <c r="D145" t="s">
        <v>1863</v>
      </c>
      <c r="F145" t="s">
        <v>1864</v>
      </c>
      <c r="BC145" t="s">
        <v>1864</v>
      </c>
    </row>
    <row r="146" spans="4:55" x14ac:dyDescent="0.25">
      <c r="D146" t="s">
        <v>1865</v>
      </c>
      <c r="F146" t="s">
        <v>1866</v>
      </c>
      <c r="BC146" t="s">
        <v>1866</v>
      </c>
    </row>
    <row r="147" spans="4:55" x14ac:dyDescent="0.25">
      <c r="D147" t="s">
        <v>1867</v>
      </c>
      <c r="F147" t="s">
        <v>1868</v>
      </c>
      <c r="BC147" t="s">
        <v>1868</v>
      </c>
    </row>
    <row r="148" spans="4:55" x14ac:dyDescent="0.25">
      <c r="D148" t="s">
        <v>1869</v>
      </c>
      <c r="F148" t="s">
        <v>1870</v>
      </c>
      <c r="BC148" t="s">
        <v>1870</v>
      </c>
    </row>
    <row r="149" spans="4:55" x14ac:dyDescent="0.25">
      <c r="D149" t="s">
        <v>1871</v>
      </c>
      <c r="F149" t="s">
        <v>1872</v>
      </c>
      <c r="BC149" t="s">
        <v>1872</v>
      </c>
    </row>
    <row r="150" spans="4:55" x14ac:dyDescent="0.25">
      <c r="D150" t="s">
        <v>1873</v>
      </c>
      <c r="F150" t="s">
        <v>1874</v>
      </c>
      <c r="BC150" t="s">
        <v>1874</v>
      </c>
    </row>
    <row r="151" spans="4:55" x14ac:dyDescent="0.25">
      <c r="D151" t="s">
        <v>1875</v>
      </c>
      <c r="F151" t="s">
        <v>1876</v>
      </c>
      <c r="BC151" t="s">
        <v>1876</v>
      </c>
    </row>
    <row r="152" spans="4:55" x14ac:dyDescent="0.25">
      <c r="D152" t="s">
        <v>1877</v>
      </c>
      <c r="F152" t="s">
        <v>1878</v>
      </c>
      <c r="BC152" t="s">
        <v>1878</v>
      </c>
    </row>
    <row r="153" spans="4:55" x14ac:dyDescent="0.25">
      <c r="D153" t="s">
        <v>1879</v>
      </c>
      <c r="F153" t="s">
        <v>1880</v>
      </c>
      <c r="BC153" t="s">
        <v>1880</v>
      </c>
    </row>
    <row r="154" spans="4:55" x14ac:dyDescent="0.25">
      <c r="D154" t="s">
        <v>1881</v>
      </c>
      <c r="F154" t="s">
        <v>1882</v>
      </c>
      <c r="BC154" t="s">
        <v>1882</v>
      </c>
    </row>
    <row r="155" spans="4:55" x14ac:dyDescent="0.25">
      <c r="D155" t="s">
        <v>1883</v>
      </c>
      <c r="F155" t="s">
        <v>1884</v>
      </c>
      <c r="BC155" t="s">
        <v>1884</v>
      </c>
    </row>
    <row r="156" spans="4:55" x14ac:dyDescent="0.25">
      <c r="D156" t="s">
        <v>1885</v>
      </c>
      <c r="F156" t="s">
        <v>1886</v>
      </c>
      <c r="BC156" t="s">
        <v>1886</v>
      </c>
    </row>
    <row r="157" spans="4:55" x14ac:dyDescent="0.25">
      <c r="D157" t="s">
        <v>1887</v>
      </c>
      <c r="F157" t="s">
        <v>1888</v>
      </c>
      <c r="BC157" t="s">
        <v>1888</v>
      </c>
    </row>
    <row r="158" spans="4:55" x14ac:dyDescent="0.25">
      <c r="D158" t="s">
        <v>1889</v>
      </c>
      <c r="F158" t="s">
        <v>1890</v>
      </c>
      <c r="BC158" t="s">
        <v>1890</v>
      </c>
    </row>
    <row r="159" spans="4:55" x14ac:dyDescent="0.25">
      <c r="D159" t="s">
        <v>1891</v>
      </c>
      <c r="F159" t="s">
        <v>1892</v>
      </c>
      <c r="BC159" t="s">
        <v>1892</v>
      </c>
    </row>
    <row r="160" spans="4:55" x14ac:dyDescent="0.25">
      <c r="D160" t="s">
        <v>1893</v>
      </c>
      <c r="F160" t="s">
        <v>1894</v>
      </c>
      <c r="BC160" t="s">
        <v>1894</v>
      </c>
    </row>
    <row r="161" spans="4:55" x14ac:dyDescent="0.25">
      <c r="D161" t="s">
        <v>1895</v>
      </c>
      <c r="F161" t="s">
        <v>1896</v>
      </c>
      <c r="BC161" t="s">
        <v>1896</v>
      </c>
    </row>
    <row r="162" spans="4:55" x14ac:dyDescent="0.25">
      <c r="D162" t="s">
        <v>1897</v>
      </c>
      <c r="F162" t="s">
        <v>1898</v>
      </c>
      <c r="BC162" t="s">
        <v>1898</v>
      </c>
    </row>
    <row r="163" spans="4:55" x14ac:dyDescent="0.25">
      <c r="D163" t="s">
        <v>1899</v>
      </c>
      <c r="F163" t="s">
        <v>1900</v>
      </c>
      <c r="BC163" t="s">
        <v>1900</v>
      </c>
    </row>
    <row r="164" spans="4:55" x14ac:dyDescent="0.25">
      <c r="D164" t="s">
        <v>1901</v>
      </c>
      <c r="F164" t="s">
        <v>1902</v>
      </c>
      <c r="BC164" t="s">
        <v>1902</v>
      </c>
    </row>
    <row r="165" spans="4:55" x14ac:dyDescent="0.25">
      <c r="D165" t="s">
        <v>1903</v>
      </c>
      <c r="F165" t="s">
        <v>1904</v>
      </c>
      <c r="BC165" t="s">
        <v>1904</v>
      </c>
    </row>
    <row r="166" spans="4:55" x14ac:dyDescent="0.25">
      <c r="D166" t="s">
        <v>1905</v>
      </c>
      <c r="F166" t="s">
        <v>1906</v>
      </c>
      <c r="BC166" t="s">
        <v>1906</v>
      </c>
    </row>
    <row r="167" spans="4:55" x14ac:dyDescent="0.25">
      <c r="D167" t="s">
        <v>1907</v>
      </c>
      <c r="F167" t="s">
        <v>1908</v>
      </c>
      <c r="BC167" t="s">
        <v>1908</v>
      </c>
    </row>
    <row r="168" spans="4:55" x14ac:dyDescent="0.25">
      <c r="D168" t="s">
        <v>1909</v>
      </c>
      <c r="F168" t="s">
        <v>1910</v>
      </c>
      <c r="BC168" t="s">
        <v>1910</v>
      </c>
    </row>
    <row r="169" spans="4:55" x14ac:dyDescent="0.25">
      <c r="D169" t="s">
        <v>1911</v>
      </c>
      <c r="F169" t="s">
        <v>1912</v>
      </c>
      <c r="BC169" t="s">
        <v>1912</v>
      </c>
    </row>
    <row r="170" spans="4:55" x14ac:dyDescent="0.25">
      <c r="D170" t="s">
        <v>1913</v>
      </c>
      <c r="F170" t="s">
        <v>1914</v>
      </c>
      <c r="BC170" t="s">
        <v>1914</v>
      </c>
    </row>
    <row r="171" spans="4:55" x14ac:dyDescent="0.25">
      <c r="D171" t="s">
        <v>1915</v>
      </c>
      <c r="F171" t="s">
        <v>1916</v>
      </c>
      <c r="BC171" t="s">
        <v>1916</v>
      </c>
    </row>
    <row r="172" spans="4:55" x14ac:dyDescent="0.25">
      <c r="D172" t="s">
        <v>1917</v>
      </c>
      <c r="F172" t="s">
        <v>1918</v>
      </c>
      <c r="BC172" t="s">
        <v>1918</v>
      </c>
    </row>
    <row r="173" spans="4:55" x14ac:dyDescent="0.25">
      <c r="D173" t="s">
        <v>1919</v>
      </c>
      <c r="F173" t="s">
        <v>1920</v>
      </c>
      <c r="BC173" t="s">
        <v>1920</v>
      </c>
    </row>
    <row r="174" spans="4:55" x14ac:dyDescent="0.25">
      <c r="D174" t="s">
        <v>1921</v>
      </c>
      <c r="F174" t="s">
        <v>1922</v>
      </c>
      <c r="BC174" t="s">
        <v>1922</v>
      </c>
    </row>
    <row r="175" spans="4:55" x14ac:dyDescent="0.25">
      <c r="D175" t="s">
        <v>1923</v>
      </c>
      <c r="F175" t="s">
        <v>1924</v>
      </c>
      <c r="BC175" t="s">
        <v>1924</v>
      </c>
    </row>
    <row r="176" spans="4:55" x14ac:dyDescent="0.25">
      <c r="D176" t="s">
        <v>1925</v>
      </c>
      <c r="F176" t="s">
        <v>1926</v>
      </c>
      <c r="BC176" t="s">
        <v>1926</v>
      </c>
    </row>
    <row r="177" spans="4:55" x14ac:dyDescent="0.25">
      <c r="D177" t="s">
        <v>1927</v>
      </c>
      <c r="F177" t="s">
        <v>1928</v>
      </c>
      <c r="BC177" t="s">
        <v>1928</v>
      </c>
    </row>
    <row r="178" spans="4:55" x14ac:dyDescent="0.25">
      <c r="D178" t="s">
        <v>1929</v>
      </c>
      <c r="F178" t="s">
        <v>1930</v>
      </c>
      <c r="BC178" t="s">
        <v>1930</v>
      </c>
    </row>
    <row r="179" spans="4:55" x14ac:dyDescent="0.25">
      <c r="D179" t="s">
        <v>1931</v>
      </c>
      <c r="F179" t="s">
        <v>1932</v>
      </c>
      <c r="BC179" t="s">
        <v>1932</v>
      </c>
    </row>
    <row r="180" spans="4:55" x14ac:dyDescent="0.25">
      <c r="D180" t="s">
        <v>1933</v>
      </c>
      <c r="F180" t="s">
        <v>1934</v>
      </c>
      <c r="BC180" t="s">
        <v>1934</v>
      </c>
    </row>
    <row r="181" spans="4:55" x14ac:dyDescent="0.25">
      <c r="D181" t="s">
        <v>1935</v>
      </c>
      <c r="F181" t="s">
        <v>1936</v>
      </c>
      <c r="BC181" t="s">
        <v>1936</v>
      </c>
    </row>
    <row r="182" spans="4:55" x14ac:dyDescent="0.25">
      <c r="D182" t="s">
        <v>1937</v>
      </c>
      <c r="F182" t="s">
        <v>1938</v>
      </c>
      <c r="BC182" t="s">
        <v>1938</v>
      </c>
    </row>
    <row r="183" spans="4:55" x14ac:dyDescent="0.25">
      <c r="D183" t="s">
        <v>1939</v>
      </c>
      <c r="F183" t="s">
        <v>1940</v>
      </c>
      <c r="BC183" t="s">
        <v>1940</v>
      </c>
    </row>
    <row r="184" spans="4:55" x14ac:dyDescent="0.25">
      <c r="D184" t="s">
        <v>1941</v>
      </c>
      <c r="F184" t="s">
        <v>1942</v>
      </c>
      <c r="BC184" t="s">
        <v>1942</v>
      </c>
    </row>
    <row r="185" spans="4:55" x14ac:dyDescent="0.25">
      <c r="D185" t="s">
        <v>1943</v>
      </c>
      <c r="F185" t="s">
        <v>1944</v>
      </c>
      <c r="BC185" t="s">
        <v>1944</v>
      </c>
    </row>
    <row r="186" spans="4:55" x14ac:dyDescent="0.25">
      <c r="D186" t="s">
        <v>1945</v>
      </c>
      <c r="F186" t="s">
        <v>1946</v>
      </c>
      <c r="BC186" t="s">
        <v>1946</v>
      </c>
    </row>
    <row r="187" spans="4:55" x14ac:dyDescent="0.25">
      <c r="D187" t="s">
        <v>1947</v>
      </c>
      <c r="F187" t="s">
        <v>1948</v>
      </c>
      <c r="BC187" t="s">
        <v>1948</v>
      </c>
    </row>
    <row r="188" spans="4:55" x14ac:dyDescent="0.25">
      <c r="D188" t="s">
        <v>1949</v>
      </c>
      <c r="F188" t="s">
        <v>1950</v>
      </c>
      <c r="BC188" t="s">
        <v>1950</v>
      </c>
    </row>
    <row r="189" spans="4:55" x14ac:dyDescent="0.25">
      <c r="D189" t="s">
        <v>1951</v>
      </c>
      <c r="F189" t="s">
        <v>1952</v>
      </c>
      <c r="BC189" t="s">
        <v>1952</v>
      </c>
    </row>
    <row r="190" spans="4:55" x14ac:dyDescent="0.25">
      <c r="D190" t="s">
        <v>1953</v>
      </c>
      <c r="F190" t="s">
        <v>1954</v>
      </c>
      <c r="BC190" t="s">
        <v>1954</v>
      </c>
    </row>
    <row r="191" spans="4:55" x14ac:dyDescent="0.25">
      <c r="D191" t="s">
        <v>1955</v>
      </c>
      <c r="F191" t="s">
        <v>1956</v>
      </c>
      <c r="BC191" t="s">
        <v>1956</v>
      </c>
    </row>
    <row r="192" spans="4:55" x14ac:dyDescent="0.25">
      <c r="D192" t="s">
        <v>1957</v>
      </c>
      <c r="F192" t="s">
        <v>1958</v>
      </c>
      <c r="BC192" t="s">
        <v>1958</v>
      </c>
    </row>
    <row r="193" spans="4:55" x14ac:dyDescent="0.25">
      <c r="D193" t="s">
        <v>1959</v>
      </c>
      <c r="F193" t="s">
        <v>1960</v>
      </c>
      <c r="BC193" t="s">
        <v>1960</v>
      </c>
    </row>
    <row r="194" spans="4:55" x14ac:dyDescent="0.25">
      <c r="D194" t="s">
        <v>1961</v>
      </c>
      <c r="F194" t="s">
        <v>1962</v>
      </c>
      <c r="BC194" t="s">
        <v>1962</v>
      </c>
    </row>
    <row r="195" spans="4:55" x14ac:dyDescent="0.25">
      <c r="D195" t="s">
        <v>1963</v>
      </c>
      <c r="F195" t="s">
        <v>1964</v>
      </c>
      <c r="BC195" t="s">
        <v>1964</v>
      </c>
    </row>
    <row r="196" spans="4:55" x14ac:dyDescent="0.25">
      <c r="D196" t="s">
        <v>1965</v>
      </c>
      <c r="F196" t="s">
        <v>1966</v>
      </c>
      <c r="BC196" t="s">
        <v>1966</v>
      </c>
    </row>
    <row r="197" spans="4:55" x14ac:dyDescent="0.25">
      <c r="D197" t="s">
        <v>1967</v>
      </c>
      <c r="F197" t="s">
        <v>1968</v>
      </c>
      <c r="BC197" t="s">
        <v>1968</v>
      </c>
    </row>
    <row r="198" spans="4:55" x14ac:dyDescent="0.25">
      <c r="D198" t="s">
        <v>1969</v>
      </c>
      <c r="F198" t="s">
        <v>1970</v>
      </c>
      <c r="BC198" t="s">
        <v>1970</v>
      </c>
    </row>
    <row r="199" spans="4:55" x14ac:dyDescent="0.25">
      <c r="D199" t="s">
        <v>1971</v>
      </c>
      <c r="F199" t="s">
        <v>1972</v>
      </c>
      <c r="BC199" t="s">
        <v>1972</v>
      </c>
    </row>
    <row r="200" spans="4:55" x14ac:dyDescent="0.25">
      <c r="D200" t="s">
        <v>1973</v>
      </c>
      <c r="F200" t="s">
        <v>1974</v>
      </c>
      <c r="BC200" t="s">
        <v>1974</v>
      </c>
    </row>
    <row r="201" spans="4:55" x14ac:dyDescent="0.25">
      <c r="D201" t="s">
        <v>1975</v>
      </c>
      <c r="F201" t="s">
        <v>1976</v>
      </c>
      <c r="BC201" t="s">
        <v>1976</v>
      </c>
    </row>
    <row r="202" spans="4:55" x14ac:dyDescent="0.25">
      <c r="D202" t="s">
        <v>1977</v>
      </c>
      <c r="F202" t="s">
        <v>1978</v>
      </c>
      <c r="BC202" t="s">
        <v>1978</v>
      </c>
    </row>
    <row r="203" spans="4:55" x14ac:dyDescent="0.25">
      <c r="D203" t="s">
        <v>1979</v>
      </c>
      <c r="F203" t="s">
        <v>1980</v>
      </c>
      <c r="BC203" t="s">
        <v>1980</v>
      </c>
    </row>
    <row r="204" spans="4:55" x14ac:dyDescent="0.25">
      <c r="D204" t="s">
        <v>1981</v>
      </c>
      <c r="F204" t="s">
        <v>1982</v>
      </c>
      <c r="BC204" t="s">
        <v>1982</v>
      </c>
    </row>
    <row r="205" spans="4:55" x14ac:dyDescent="0.25">
      <c r="D205" t="s">
        <v>1983</v>
      </c>
      <c r="F205" t="s">
        <v>1984</v>
      </c>
      <c r="BC205" t="s">
        <v>1984</v>
      </c>
    </row>
    <row r="206" spans="4:55" x14ac:dyDescent="0.25">
      <c r="D206" t="s">
        <v>1985</v>
      </c>
      <c r="F206" t="s">
        <v>1986</v>
      </c>
      <c r="BC206" t="s">
        <v>1986</v>
      </c>
    </row>
    <row r="207" spans="4:55" x14ac:dyDescent="0.25">
      <c r="D207" t="s">
        <v>1987</v>
      </c>
      <c r="F207" t="s">
        <v>1988</v>
      </c>
      <c r="BC207" t="s">
        <v>1988</v>
      </c>
    </row>
    <row r="208" spans="4:55" x14ac:dyDescent="0.25">
      <c r="D208" t="s">
        <v>1989</v>
      </c>
      <c r="F208" t="s">
        <v>1990</v>
      </c>
      <c r="BC208" t="s">
        <v>1990</v>
      </c>
    </row>
    <row r="209" spans="4:55" x14ac:dyDescent="0.25">
      <c r="D209" t="s">
        <v>1991</v>
      </c>
      <c r="F209" t="s">
        <v>1992</v>
      </c>
      <c r="BC209" t="s">
        <v>1992</v>
      </c>
    </row>
    <row r="210" spans="4:55" x14ac:dyDescent="0.25">
      <c r="D210" t="s">
        <v>1993</v>
      </c>
      <c r="F210" t="s">
        <v>1994</v>
      </c>
      <c r="BC210" t="s">
        <v>1994</v>
      </c>
    </row>
    <row r="211" spans="4:55" x14ac:dyDescent="0.25">
      <c r="D211" t="s">
        <v>1995</v>
      </c>
      <c r="F211" t="s">
        <v>1996</v>
      </c>
      <c r="BC211" t="s">
        <v>1996</v>
      </c>
    </row>
    <row r="212" spans="4:55" x14ac:dyDescent="0.25">
      <c r="D212" t="s">
        <v>1997</v>
      </c>
      <c r="F212" t="s">
        <v>1998</v>
      </c>
      <c r="BC212" t="s">
        <v>1998</v>
      </c>
    </row>
    <row r="213" spans="4:55" x14ac:dyDescent="0.25">
      <c r="D213" t="s">
        <v>1999</v>
      </c>
      <c r="F213" t="s">
        <v>2000</v>
      </c>
      <c r="BC213" t="s">
        <v>2000</v>
      </c>
    </row>
    <row r="214" spans="4:55" x14ac:dyDescent="0.25">
      <c r="D214" t="s">
        <v>2001</v>
      </c>
      <c r="F214" t="s">
        <v>2002</v>
      </c>
      <c r="BC214" t="s">
        <v>2002</v>
      </c>
    </row>
    <row r="215" spans="4:55" x14ac:dyDescent="0.25">
      <c r="D215" t="s">
        <v>2003</v>
      </c>
      <c r="F215" t="s">
        <v>2004</v>
      </c>
      <c r="BC215" t="s">
        <v>2004</v>
      </c>
    </row>
    <row r="216" spans="4:55" x14ac:dyDescent="0.25">
      <c r="D216" t="s">
        <v>2005</v>
      </c>
      <c r="F216" t="s">
        <v>2006</v>
      </c>
      <c r="BC216" t="s">
        <v>2006</v>
      </c>
    </row>
    <row r="217" spans="4:55" x14ac:dyDescent="0.25">
      <c r="D217" t="s">
        <v>2007</v>
      </c>
      <c r="F217" t="s">
        <v>2008</v>
      </c>
      <c r="BC217" t="s">
        <v>2008</v>
      </c>
    </row>
    <row r="218" spans="4:55" x14ac:dyDescent="0.25">
      <c r="D218" t="s">
        <v>2009</v>
      </c>
      <c r="F218" t="s">
        <v>2010</v>
      </c>
      <c r="BC218" t="s">
        <v>2010</v>
      </c>
    </row>
    <row r="219" spans="4:55" x14ac:dyDescent="0.25">
      <c r="D219" t="s">
        <v>2011</v>
      </c>
      <c r="F219" t="s">
        <v>2012</v>
      </c>
      <c r="BC219" t="s">
        <v>2012</v>
      </c>
    </row>
    <row r="220" spans="4:55" x14ac:dyDescent="0.25">
      <c r="D220" t="s">
        <v>2013</v>
      </c>
      <c r="F220" t="s">
        <v>2014</v>
      </c>
      <c r="BC220" t="s">
        <v>2014</v>
      </c>
    </row>
    <row r="221" spans="4:55" x14ac:dyDescent="0.25">
      <c r="D221" t="s">
        <v>2015</v>
      </c>
      <c r="F221" t="s">
        <v>2016</v>
      </c>
      <c r="BC221" t="s">
        <v>2016</v>
      </c>
    </row>
    <row r="222" spans="4:55" x14ac:dyDescent="0.25">
      <c r="D222" t="s">
        <v>2017</v>
      </c>
      <c r="F222" t="s">
        <v>2018</v>
      </c>
      <c r="BC222" t="s">
        <v>2018</v>
      </c>
    </row>
    <row r="223" spans="4:55" x14ac:dyDescent="0.25">
      <c r="D223" t="s">
        <v>2019</v>
      </c>
      <c r="F223" t="s">
        <v>2020</v>
      </c>
      <c r="BC223" t="s">
        <v>2020</v>
      </c>
    </row>
    <row r="224" spans="4:55" x14ac:dyDescent="0.25">
      <c r="D224" t="s">
        <v>2021</v>
      </c>
      <c r="F224" t="s">
        <v>2022</v>
      </c>
      <c r="BC224" t="s">
        <v>2022</v>
      </c>
    </row>
    <row r="225" spans="4:55" x14ac:dyDescent="0.25">
      <c r="D225" t="s">
        <v>2023</v>
      </c>
      <c r="F225" t="s">
        <v>2024</v>
      </c>
      <c r="BC225" t="s">
        <v>2024</v>
      </c>
    </row>
    <row r="226" spans="4:55" x14ac:dyDescent="0.25">
      <c r="D226" t="s">
        <v>2025</v>
      </c>
      <c r="F226" t="s">
        <v>2026</v>
      </c>
      <c r="BC226" t="s">
        <v>2026</v>
      </c>
    </row>
    <row r="227" spans="4:55" x14ac:dyDescent="0.25">
      <c r="D227" t="s">
        <v>2027</v>
      </c>
      <c r="F227" t="s">
        <v>2028</v>
      </c>
      <c r="BC227" t="s">
        <v>2028</v>
      </c>
    </row>
    <row r="228" spans="4:55" x14ac:dyDescent="0.25">
      <c r="D228" t="s">
        <v>2029</v>
      </c>
      <c r="F228" t="s">
        <v>2030</v>
      </c>
      <c r="BC228" t="s">
        <v>2030</v>
      </c>
    </row>
    <row r="229" spans="4:55" x14ac:dyDescent="0.25">
      <c r="D229" t="s">
        <v>2031</v>
      </c>
      <c r="F229" t="s">
        <v>2032</v>
      </c>
      <c r="BC229" t="s">
        <v>2032</v>
      </c>
    </row>
    <row r="230" spans="4:55" x14ac:dyDescent="0.25">
      <c r="D230" t="s">
        <v>2033</v>
      </c>
      <c r="F230" t="s">
        <v>2034</v>
      </c>
      <c r="BC230" t="s">
        <v>2034</v>
      </c>
    </row>
    <row r="231" spans="4:55" x14ac:dyDescent="0.25">
      <c r="D231" t="s">
        <v>2035</v>
      </c>
      <c r="F231" t="s">
        <v>2036</v>
      </c>
      <c r="BC231" t="s">
        <v>2036</v>
      </c>
    </row>
    <row r="232" spans="4:55" x14ac:dyDescent="0.25">
      <c r="D232" t="s">
        <v>2037</v>
      </c>
      <c r="F232" t="s">
        <v>2038</v>
      </c>
      <c r="BC232" t="s">
        <v>2038</v>
      </c>
    </row>
    <row r="233" spans="4:55" x14ac:dyDescent="0.25">
      <c r="D233" t="s">
        <v>2039</v>
      </c>
      <c r="F233" t="s">
        <v>2040</v>
      </c>
      <c r="BC233" t="s">
        <v>2040</v>
      </c>
    </row>
    <row r="234" spans="4:55" x14ac:dyDescent="0.25">
      <c r="D234" t="s">
        <v>2041</v>
      </c>
      <c r="F234" t="s">
        <v>2042</v>
      </c>
      <c r="BC234" t="s">
        <v>2042</v>
      </c>
    </row>
    <row r="235" spans="4:55" x14ac:dyDescent="0.25">
      <c r="D235" t="s">
        <v>2043</v>
      </c>
      <c r="F235" t="s">
        <v>2044</v>
      </c>
      <c r="BC235" t="s">
        <v>2044</v>
      </c>
    </row>
    <row r="236" spans="4:55" x14ac:dyDescent="0.25">
      <c r="D236" t="s">
        <v>2045</v>
      </c>
      <c r="F236" t="s">
        <v>2046</v>
      </c>
      <c r="BC236" t="s">
        <v>2046</v>
      </c>
    </row>
    <row r="237" spans="4:55" x14ac:dyDescent="0.25">
      <c r="D237" t="s">
        <v>2047</v>
      </c>
      <c r="F237" t="s">
        <v>2048</v>
      </c>
      <c r="BC237" t="s">
        <v>2048</v>
      </c>
    </row>
    <row r="238" spans="4:55" x14ac:dyDescent="0.25">
      <c r="D238" t="s">
        <v>2049</v>
      </c>
      <c r="F238" t="s">
        <v>2050</v>
      </c>
      <c r="BC238" t="s">
        <v>2050</v>
      </c>
    </row>
    <row r="239" spans="4:55" x14ac:dyDescent="0.25">
      <c r="D239" t="s">
        <v>2051</v>
      </c>
      <c r="F239" t="s">
        <v>2052</v>
      </c>
      <c r="BC239" t="s">
        <v>2052</v>
      </c>
    </row>
    <row r="240" spans="4:55" x14ac:dyDescent="0.25">
      <c r="D240" t="s">
        <v>2053</v>
      </c>
      <c r="F240" t="s">
        <v>2054</v>
      </c>
      <c r="BC240" t="s">
        <v>2054</v>
      </c>
    </row>
    <row r="241" spans="4:55" x14ac:dyDescent="0.25">
      <c r="D241" t="s">
        <v>2055</v>
      </c>
      <c r="F241" t="s">
        <v>2056</v>
      </c>
      <c r="BC241" t="s">
        <v>2056</v>
      </c>
    </row>
    <row r="242" spans="4:55" x14ac:dyDescent="0.25">
      <c r="D242" t="s">
        <v>2057</v>
      </c>
      <c r="F242" t="s">
        <v>2058</v>
      </c>
      <c r="BC242" t="s">
        <v>2058</v>
      </c>
    </row>
    <row r="243" spans="4:55" x14ac:dyDescent="0.25">
      <c r="D243" t="s">
        <v>2059</v>
      </c>
      <c r="F243" t="s">
        <v>2060</v>
      </c>
      <c r="BC243" t="s">
        <v>2060</v>
      </c>
    </row>
    <row r="244" spans="4:55" x14ac:dyDescent="0.25">
      <c r="D244" t="s">
        <v>2061</v>
      </c>
      <c r="F244" t="s">
        <v>2062</v>
      </c>
      <c r="BC244" t="s">
        <v>2062</v>
      </c>
    </row>
    <row r="245" spans="4:55" x14ac:dyDescent="0.25">
      <c r="D245" t="s">
        <v>2063</v>
      </c>
      <c r="F245" t="s">
        <v>2064</v>
      </c>
      <c r="BC245" t="s">
        <v>2064</v>
      </c>
    </row>
    <row r="246" spans="4:55" x14ac:dyDescent="0.25">
      <c r="D246" t="s">
        <v>2065</v>
      </c>
      <c r="F246" t="s">
        <v>2066</v>
      </c>
      <c r="BC246" t="s">
        <v>2066</v>
      </c>
    </row>
    <row r="247" spans="4:55" x14ac:dyDescent="0.25">
      <c r="D247" t="s">
        <v>2067</v>
      </c>
      <c r="F247" t="s">
        <v>2068</v>
      </c>
      <c r="BC247" t="s">
        <v>2068</v>
      </c>
    </row>
    <row r="248" spans="4:55" x14ac:dyDescent="0.25">
      <c r="D248" t="s">
        <v>2069</v>
      </c>
      <c r="F248" t="s">
        <v>2070</v>
      </c>
      <c r="BC248" t="s">
        <v>2070</v>
      </c>
    </row>
    <row r="249" spans="4:55" x14ac:dyDescent="0.25">
      <c r="D249" t="s">
        <v>2071</v>
      </c>
      <c r="F249" t="s">
        <v>2072</v>
      </c>
      <c r="BC249" t="s">
        <v>2072</v>
      </c>
    </row>
    <row r="250" spans="4:55" x14ac:dyDescent="0.25">
      <c r="D250" t="s">
        <v>2073</v>
      </c>
      <c r="F250" t="s">
        <v>2074</v>
      </c>
      <c r="BC250" t="s">
        <v>2074</v>
      </c>
    </row>
    <row r="251" spans="4:55" x14ac:dyDescent="0.25">
      <c r="D251" t="s">
        <v>2075</v>
      </c>
      <c r="F251" t="s">
        <v>2076</v>
      </c>
      <c r="BC251" t="s">
        <v>2076</v>
      </c>
    </row>
    <row r="252" spans="4:55" x14ac:dyDescent="0.25">
      <c r="D252" t="s">
        <v>2077</v>
      </c>
      <c r="F252" t="s">
        <v>2078</v>
      </c>
      <c r="BC252" t="s">
        <v>2078</v>
      </c>
    </row>
    <row r="253" spans="4:55" x14ac:dyDescent="0.25">
      <c r="D253" t="s">
        <v>2079</v>
      </c>
      <c r="F253" t="s">
        <v>2080</v>
      </c>
      <c r="BC253" t="s">
        <v>2080</v>
      </c>
    </row>
    <row r="254" spans="4:55" x14ac:dyDescent="0.25">
      <c r="D254" t="s">
        <v>2081</v>
      </c>
      <c r="F254" t="s">
        <v>2082</v>
      </c>
      <c r="BC254" t="s">
        <v>2082</v>
      </c>
    </row>
    <row r="255" spans="4:55" x14ac:dyDescent="0.25">
      <c r="D255" t="s">
        <v>2083</v>
      </c>
      <c r="F255" t="s">
        <v>2084</v>
      </c>
      <c r="BC255" t="s">
        <v>2084</v>
      </c>
    </row>
    <row r="256" spans="4:55" x14ac:dyDescent="0.25">
      <c r="D256" t="s">
        <v>2085</v>
      </c>
      <c r="F256" t="s">
        <v>2086</v>
      </c>
      <c r="BC256" t="s">
        <v>2086</v>
      </c>
    </row>
    <row r="257" spans="4:55" x14ac:dyDescent="0.25">
      <c r="D257" t="s">
        <v>2087</v>
      </c>
      <c r="F257" t="s">
        <v>2088</v>
      </c>
      <c r="BC257" t="s">
        <v>2088</v>
      </c>
    </row>
    <row r="258" spans="4:55" x14ac:dyDescent="0.25">
      <c r="D258" t="s">
        <v>2089</v>
      </c>
      <c r="F258" t="s">
        <v>2090</v>
      </c>
      <c r="BC258" t="s">
        <v>2090</v>
      </c>
    </row>
    <row r="259" spans="4:55" x14ac:dyDescent="0.25">
      <c r="D259" t="s">
        <v>2091</v>
      </c>
      <c r="F259" t="s">
        <v>2092</v>
      </c>
      <c r="BC259" t="s">
        <v>2092</v>
      </c>
    </row>
    <row r="260" spans="4:55" x14ac:dyDescent="0.25">
      <c r="D260" t="s">
        <v>2093</v>
      </c>
      <c r="F260" t="s">
        <v>2094</v>
      </c>
      <c r="BC260" t="s">
        <v>2094</v>
      </c>
    </row>
    <row r="261" spans="4:55" x14ac:dyDescent="0.25">
      <c r="D261" t="s">
        <v>2095</v>
      </c>
      <c r="F261" t="s">
        <v>2096</v>
      </c>
      <c r="BC261" t="s">
        <v>2096</v>
      </c>
    </row>
    <row r="262" spans="4:55" x14ac:dyDescent="0.25">
      <c r="D262" t="s">
        <v>2097</v>
      </c>
      <c r="F262" t="s">
        <v>2098</v>
      </c>
      <c r="BC262" t="s">
        <v>2098</v>
      </c>
    </row>
    <row r="263" spans="4:55" x14ac:dyDescent="0.25">
      <c r="D263" t="s">
        <v>2099</v>
      </c>
      <c r="F263" t="s">
        <v>2100</v>
      </c>
      <c r="BC263" t="s">
        <v>2100</v>
      </c>
    </row>
    <row r="264" spans="4:55" x14ac:dyDescent="0.25">
      <c r="D264" t="s">
        <v>2101</v>
      </c>
      <c r="F264" t="s">
        <v>2102</v>
      </c>
      <c r="BC264" t="s">
        <v>2102</v>
      </c>
    </row>
    <row r="265" spans="4:55" x14ac:dyDescent="0.25">
      <c r="D265" t="s">
        <v>2103</v>
      </c>
      <c r="F265" t="s">
        <v>2104</v>
      </c>
      <c r="BC265" t="s">
        <v>2104</v>
      </c>
    </row>
    <row r="266" spans="4:55" x14ac:dyDescent="0.25">
      <c r="D266" t="s">
        <v>2105</v>
      </c>
      <c r="F266" t="s">
        <v>2106</v>
      </c>
      <c r="BC266" t="s">
        <v>2106</v>
      </c>
    </row>
    <row r="267" spans="4:55" x14ac:dyDescent="0.25">
      <c r="D267" t="s">
        <v>2107</v>
      </c>
      <c r="F267" t="s">
        <v>2108</v>
      </c>
      <c r="BC267" t="s">
        <v>2108</v>
      </c>
    </row>
    <row r="268" spans="4:55" x14ac:dyDescent="0.25">
      <c r="D268" t="s">
        <v>2109</v>
      </c>
      <c r="F268" t="s">
        <v>2110</v>
      </c>
      <c r="BC268" t="s">
        <v>2110</v>
      </c>
    </row>
    <row r="269" spans="4:55" x14ac:dyDescent="0.25">
      <c r="D269" t="s">
        <v>2111</v>
      </c>
      <c r="F269" t="s">
        <v>2112</v>
      </c>
      <c r="BC269" t="s">
        <v>2112</v>
      </c>
    </row>
    <row r="270" spans="4:55" x14ac:dyDescent="0.25">
      <c r="D270" t="s">
        <v>2113</v>
      </c>
      <c r="F270" t="s">
        <v>2114</v>
      </c>
      <c r="BC270" t="s">
        <v>2114</v>
      </c>
    </row>
    <row r="271" spans="4:55" x14ac:dyDescent="0.25">
      <c r="D271" t="s">
        <v>2115</v>
      </c>
      <c r="F271" t="s">
        <v>2116</v>
      </c>
      <c r="BC271" t="s">
        <v>2116</v>
      </c>
    </row>
    <row r="272" spans="4:55" x14ac:dyDescent="0.25">
      <c r="D272" t="s">
        <v>2117</v>
      </c>
    </row>
    <row r="273" spans="4:4" x14ac:dyDescent="0.25">
      <c r="D273" t="s">
        <v>2118</v>
      </c>
    </row>
    <row r="274" spans="4:4" x14ac:dyDescent="0.25">
      <c r="D274" t="s">
        <v>2119</v>
      </c>
    </row>
    <row r="275" spans="4:4" x14ac:dyDescent="0.25">
      <c r="D275" t="s">
        <v>2120</v>
      </c>
    </row>
    <row r="276" spans="4:4" x14ac:dyDescent="0.25">
      <c r="D276" t="s">
        <v>2121</v>
      </c>
    </row>
    <row r="277" spans="4:4" x14ac:dyDescent="0.25">
      <c r="D277" t="s">
        <v>2122</v>
      </c>
    </row>
    <row r="278" spans="4:4" x14ac:dyDescent="0.25">
      <c r="D278" t="s">
        <v>2123</v>
      </c>
    </row>
    <row r="279" spans="4:4" x14ac:dyDescent="0.25">
      <c r="D279" t="s">
        <v>2124</v>
      </c>
    </row>
    <row r="280" spans="4:4" x14ac:dyDescent="0.25">
      <c r="D280" t="s">
        <v>2125</v>
      </c>
    </row>
    <row r="281" spans="4:4" x14ac:dyDescent="0.25">
      <c r="D281" t="s">
        <v>2126</v>
      </c>
    </row>
    <row r="282" spans="4:4" x14ac:dyDescent="0.25">
      <c r="D282" t="s">
        <v>2127</v>
      </c>
    </row>
    <row r="283" spans="4:4" x14ac:dyDescent="0.25">
      <c r="D283" t="s">
        <v>2128</v>
      </c>
    </row>
    <row r="284" spans="4:4" x14ac:dyDescent="0.25">
      <c r="D284" t="s">
        <v>2129</v>
      </c>
    </row>
    <row r="285" spans="4:4" x14ac:dyDescent="0.25">
      <c r="D285" t="s">
        <v>2130</v>
      </c>
    </row>
    <row r="286" spans="4:4" x14ac:dyDescent="0.25">
      <c r="D286" t="s">
        <v>2131</v>
      </c>
    </row>
    <row r="287" spans="4:4" x14ac:dyDescent="0.25">
      <c r="D287" t="s">
        <v>2132</v>
      </c>
    </row>
    <row r="288" spans="4:4" x14ac:dyDescent="0.25">
      <c r="D288" t="s">
        <v>2133</v>
      </c>
    </row>
    <row r="289" spans="4:4" x14ac:dyDescent="0.25">
      <c r="D289" t="s">
        <v>2134</v>
      </c>
    </row>
    <row r="290" spans="4:4" x14ac:dyDescent="0.25">
      <c r="D290" t="s">
        <v>2135</v>
      </c>
    </row>
    <row r="291" spans="4:4" x14ac:dyDescent="0.25">
      <c r="D291" t="s">
        <v>2136</v>
      </c>
    </row>
    <row r="292" spans="4:4" x14ac:dyDescent="0.25">
      <c r="D292" t="s">
        <v>2137</v>
      </c>
    </row>
    <row r="293" spans="4:4" x14ac:dyDescent="0.25">
      <c r="D293" t="s">
        <v>2138</v>
      </c>
    </row>
    <row r="294" spans="4:4" x14ac:dyDescent="0.25">
      <c r="D294" t="s">
        <v>2139</v>
      </c>
    </row>
    <row r="295" spans="4:4" x14ac:dyDescent="0.25">
      <c r="D295" t="s">
        <v>2140</v>
      </c>
    </row>
    <row r="296" spans="4:4" x14ac:dyDescent="0.25">
      <c r="D296" t="s">
        <v>2141</v>
      </c>
    </row>
    <row r="297" spans="4:4" x14ac:dyDescent="0.25">
      <c r="D297" t="s">
        <v>2142</v>
      </c>
    </row>
    <row r="298" spans="4:4" x14ac:dyDescent="0.25">
      <c r="D298" t="s">
        <v>2143</v>
      </c>
    </row>
    <row r="299" spans="4:4" x14ac:dyDescent="0.25">
      <c r="D299" t="s">
        <v>2144</v>
      </c>
    </row>
    <row r="300" spans="4:4" x14ac:dyDescent="0.25">
      <c r="D300" t="s">
        <v>2145</v>
      </c>
    </row>
    <row r="301" spans="4:4" x14ac:dyDescent="0.25">
      <c r="D301" t="s">
        <v>2146</v>
      </c>
    </row>
    <row r="302" spans="4:4" x14ac:dyDescent="0.25">
      <c r="D302" t="s">
        <v>2147</v>
      </c>
    </row>
    <row r="303" spans="4:4" x14ac:dyDescent="0.25">
      <c r="D303" t="s">
        <v>2148</v>
      </c>
    </row>
    <row r="304" spans="4:4" x14ac:dyDescent="0.25">
      <c r="D304" t="s">
        <v>2149</v>
      </c>
    </row>
    <row r="305" spans="4:4" x14ac:dyDescent="0.25">
      <c r="D305" t="s">
        <v>2150</v>
      </c>
    </row>
    <row r="306" spans="4:4" x14ac:dyDescent="0.25">
      <c r="D306" t="s">
        <v>2151</v>
      </c>
    </row>
    <row r="307" spans="4:4" x14ac:dyDescent="0.25">
      <c r="D307" t="s">
        <v>2152</v>
      </c>
    </row>
    <row r="308" spans="4:4" x14ac:dyDescent="0.25">
      <c r="D308" t="s">
        <v>2153</v>
      </c>
    </row>
    <row r="309" spans="4:4" x14ac:dyDescent="0.25">
      <c r="D309" t="s">
        <v>2154</v>
      </c>
    </row>
    <row r="310" spans="4:4" x14ac:dyDescent="0.25">
      <c r="D310" t="s">
        <v>2155</v>
      </c>
    </row>
    <row r="311" spans="4:4" x14ac:dyDescent="0.25">
      <c r="D311" t="s">
        <v>2156</v>
      </c>
    </row>
    <row r="312" spans="4:4" x14ac:dyDescent="0.25">
      <c r="D312" t="s">
        <v>2157</v>
      </c>
    </row>
    <row r="313" spans="4:4" x14ac:dyDescent="0.25">
      <c r="D313" t="s">
        <v>2158</v>
      </c>
    </row>
    <row r="314" spans="4:4" x14ac:dyDescent="0.25">
      <c r="D314" t="s">
        <v>2159</v>
      </c>
    </row>
    <row r="315" spans="4:4" x14ac:dyDescent="0.25">
      <c r="D315" t="s">
        <v>2160</v>
      </c>
    </row>
    <row r="316" spans="4:4" x14ac:dyDescent="0.25">
      <c r="D316" t="s">
        <v>2161</v>
      </c>
    </row>
    <row r="317" spans="4:4" x14ac:dyDescent="0.25">
      <c r="D317" t="s">
        <v>2162</v>
      </c>
    </row>
    <row r="318" spans="4:4" x14ac:dyDescent="0.25">
      <c r="D318" t="s">
        <v>2163</v>
      </c>
    </row>
    <row r="319" spans="4:4" x14ac:dyDescent="0.25">
      <c r="D319" t="s">
        <v>2164</v>
      </c>
    </row>
    <row r="320" spans="4:4" x14ac:dyDescent="0.25">
      <c r="D320" t="s">
        <v>2165</v>
      </c>
    </row>
    <row r="321" spans="4:4" x14ac:dyDescent="0.25">
      <c r="D321" t="s">
        <v>2166</v>
      </c>
    </row>
    <row r="322" spans="4:4" x14ac:dyDescent="0.25">
      <c r="D322" t="s">
        <v>2167</v>
      </c>
    </row>
    <row r="323" spans="4:4" x14ac:dyDescent="0.25">
      <c r="D323" t="s">
        <v>2168</v>
      </c>
    </row>
    <row r="324" spans="4:4" x14ac:dyDescent="0.25">
      <c r="D324" t="s">
        <v>2169</v>
      </c>
    </row>
    <row r="325" spans="4:4" x14ac:dyDescent="0.25">
      <c r="D325" t="s">
        <v>2170</v>
      </c>
    </row>
    <row r="326" spans="4:4" x14ac:dyDescent="0.25">
      <c r="D326" t="s">
        <v>2171</v>
      </c>
    </row>
    <row r="327" spans="4:4" x14ac:dyDescent="0.25">
      <c r="D327" t="s">
        <v>2172</v>
      </c>
    </row>
    <row r="328" spans="4:4" x14ac:dyDescent="0.25">
      <c r="D328" t="s">
        <v>2173</v>
      </c>
    </row>
    <row r="329" spans="4:4" x14ac:dyDescent="0.25">
      <c r="D329" t="s">
        <v>2174</v>
      </c>
    </row>
    <row r="330" spans="4:4" x14ac:dyDescent="0.25">
      <c r="D330" t="s">
        <v>2175</v>
      </c>
    </row>
    <row r="331" spans="4:4" x14ac:dyDescent="0.25">
      <c r="D331" t="s">
        <v>2176</v>
      </c>
    </row>
    <row r="332" spans="4:4" x14ac:dyDescent="0.25">
      <c r="D332" t="s">
        <v>2177</v>
      </c>
    </row>
    <row r="333" spans="4:4" x14ac:dyDescent="0.25">
      <c r="D333" t="s">
        <v>2178</v>
      </c>
    </row>
    <row r="334" spans="4:4" x14ac:dyDescent="0.25">
      <c r="D334" t="s">
        <v>2179</v>
      </c>
    </row>
    <row r="335" spans="4:4" x14ac:dyDescent="0.25">
      <c r="D335" t="s">
        <v>2180</v>
      </c>
    </row>
    <row r="336" spans="4:4" x14ac:dyDescent="0.25">
      <c r="D336" t="s">
        <v>2181</v>
      </c>
    </row>
    <row r="337" spans="4:4" x14ac:dyDescent="0.25">
      <c r="D337" t="s">
        <v>2182</v>
      </c>
    </row>
    <row r="338" spans="4:4" x14ac:dyDescent="0.25">
      <c r="D338" t="s">
        <v>2183</v>
      </c>
    </row>
    <row r="339" spans="4:4" x14ac:dyDescent="0.25">
      <c r="D339" t="s">
        <v>2184</v>
      </c>
    </row>
    <row r="340" spans="4:4" x14ac:dyDescent="0.25">
      <c r="D340" t="s">
        <v>2185</v>
      </c>
    </row>
    <row r="341" spans="4:4" x14ac:dyDescent="0.25">
      <c r="D341" t="s">
        <v>2186</v>
      </c>
    </row>
    <row r="342" spans="4:4" x14ac:dyDescent="0.25">
      <c r="D342" t="s">
        <v>2187</v>
      </c>
    </row>
    <row r="343" spans="4:4" x14ac:dyDescent="0.25">
      <c r="D343" t="s">
        <v>2188</v>
      </c>
    </row>
    <row r="344" spans="4:4" x14ac:dyDescent="0.25">
      <c r="D344" t="s">
        <v>2189</v>
      </c>
    </row>
    <row r="345" spans="4:4" x14ac:dyDescent="0.25">
      <c r="D345" t="s">
        <v>2190</v>
      </c>
    </row>
    <row r="346" spans="4:4" x14ac:dyDescent="0.25">
      <c r="D346" t="s">
        <v>2191</v>
      </c>
    </row>
    <row r="347" spans="4:4" x14ac:dyDescent="0.25">
      <c r="D347" t="s">
        <v>2192</v>
      </c>
    </row>
    <row r="348" spans="4:4" x14ac:dyDescent="0.25">
      <c r="D348" t="s">
        <v>2193</v>
      </c>
    </row>
    <row r="349" spans="4:4" x14ac:dyDescent="0.25">
      <c r="D349" t="s">
        <v>2194</v>
      </c>
    </row>
    <row r="350" spans="4:4" x14ac:dyDescent="0.25">
      <c r="D350" t="s">
        <v>2195</v>
      </c>
    </row>
    <row r="351" spans="4:4" x14ac:dyDescent="0.25">
      <c r="D351" t="s">
        <v>2196</v>
      </c>
    </row>
    <row r="352" spans="4:4" x14ac:dyDescent="0.25">
      <c r="D352" t="s">
        <v>2197</v>
      </c>
    </row>
    <row r="353" spans="4:4" x14ac:dyDescent="0.25">
      <c r="D353" t="s">
        <v>2198</v>
      </c>
    </row>
    <row r="354" spans="4:4" x14ac:dyDescent="0.25">
      <c r="D354" t="s">
        <v>2199</v>
      </c>
    </row>
    <row r="355" spans="4:4" x14ac:dyDescent="0.25">
      <c r="D355" t="s">
        <v>2200</v>
      </c>
    </row>
    <row r="356" spans="4:4" x14ac:dyDescent="0.25">
      <c r="D356" t="s">
        <v>2201</v>
      </c>
    </row>
    <row r="357" spans="4:4" x14ac:dyDescent="0.25">
      <c r="D357" t="s">
        <v>2202</v>
      </c>
    </row>
    <row r="358" spans="4:4" x14ac:dyDescent="0.25">
      <c r="D358" t="s">
        <v>2203</v>
      </c>
    </row>
    <row r="359" spans="4:4" x14ac:dyDescent="0.25">
      <c r="D359" t="s">
        <v>2204</v>
      </c>
    </row>
    <row r="360" spans="4:4" x14ac:dyDescent="0.25">
      <c r="D360" t="s">
        <v>2205</v>
      </c>
    </row>
    <row r="361" spans="4:4" x14ac:dyDescent="0.25">
      <c r="D361" t="s">
        <v>2206</v>
      </c>
    </row>
    <row r="362" spans="4:4" x14ac:dyDescent="0.25">
      <c r="D362" t="s">
        <v>2207</v>
      </c>
    </row>
    <row r="363" spans="4:4" x14ac:dyDescent="0.25">
      <c r="D363" t="s">
        <v>2208</v>
      </c>
    </row>
    <row r="364" spans="4:4" x14ac:dyDescent="0.25">
      <c r="D364" t="s">
        <v>2209</v>
      </c>
    </row>
    <row r="365" spans="4:4" x14ac:dyDescent="0.25">
      <c r="D365" t="s">
        <v>2210</v>
      </c>
    </row>
    <row r="366" spans="4:4" x14ac:dyDescent="0.25">
      <c r="D366" t="s">
        <v>2211</v>
      </c>
    </row>
    <row r="367" spans="4:4" x14ac:dyDescent="0.25">
      <c r="D367" t="s">
        <v>2212</v>
      </c>
    </row>
    <row r="368" spans="4:4" x14ac:dyDescent="0.25">
      <c r="D368" t="s">
        <v>2213</v>
      </c>
    </row>
    <row r="369" spans="4:4" x14ac:dyDescent="0.25">
      <c r="D369" t="s">
        <v>2214</v>
      </c>
    </row>
    <row r="370" spans="4:4" x14ac:dyDescent="0.25">
      <c r="D370" t="s">
        <v>2215</v>
      </c>
    </row>
    <row r="371" spans="4:4" x14ac:dyDescent="0.25">
      <c r="D371" t="s">
        <v>2216</v>
      </c>
    </row>
    <row r="372" spans="4:4" x14ac:dyDescent="0.25">
      <c r="D372" t="s">
        <v>2217</v>
      </c>
    </row>
    <row r="373" spans="4:4" x14ac:dyDescent="0.25">
      <c r="D373" t="s">
        <v>2218</v>
      </c>
    </row>
    <row r="374" spans="4:4" x14ac:dyDescent="0.25">
      <c r="D374" t="s">
        <v>2219</v>
      </c>
    </row>
    <row r="375" spans="4:4" x14ac:dyDescent="0.25">
      <c r="D375" t="s">
        <v>2220</v>
      </c>
    </row>
    <row r="376" spans="4:4" x14ac:dyDescent="0.25">
      <c r="D376" t="s">
        <v>2221</v>
      </c>
    </row>
    <row r="377" spans="4:4" x14ac:dyDescent="0.25">
      <c r="D377" t="s">
        <v>2222</v>
      </c>
    </row>
    <row r="378" spans="4:4" x14ac:dyDescent="0.25">
      <c r="D378" t="s">
        <v>2223</v>
      </c>
    </row>
    <row r="379" spans="4:4" x14ac:dyDescent="0.25">
      <c r="D379" t="s">
        <v>2224</v>
      </c>
    </row>
    <row r="380" spans="4:4" x14ac:dyDescent="0.25">
      <c r="D380" t="s">
        <v>2225</v>
      </c>
    </row>
    <row r="381" spans="4:4" x14ac:dyDescent="0.25">
      <c r="D381" t="s">
        <v>2226</v>
      </c>
    </row>
    <row r="382" spans="4:4" x14ac:dyDescent="0.25">
      <c r="D382" t="s">
        <v>2227</v>
      </c>
    </row>
    <row r="383" spans="4:4" x14ac:dyDescent="0.25">
      <c r="D383" t="s">
        <v>2228</v>
      </c>
    </row>
    <row r="384" spans="4:4" x14ac:dyDescent="0.25">
      <c r="D384" t="s">
        <v>2229</v>
      </c>
    </row>
    <row r="385" spans="4:4" x14ac:dyDescent="0.25">
      <c r="D385" t="s">
        <v>2230</v>
      </c>
    </row>
    <row r="386" spans="4:4" x14ac:dyDescent="0.25">
      <c r="D386" t="s">
        <v>2231</v>
      </c>
    </row>
    <row r="387" spans="4:4" x14ac:dyDescent="0.25">
      <c r="D387" t="s">
        <v>2232</v>
      </c>
    </row>
    <row r="388" spans="4:4" x14ac:dyDescent="0.25">
      <c r="D388" t="s">
        <v>2233</v>
      </c>
    </row>
    <row r="389" spans="4:4" x14ac:dyDescent="0.25">
      <c r="D389" t="s">
        <v>2234</v>
      </c>
    </row>
    <row r="390" spans="4:4" x14ac:dyDescent="0.25">
      <c r="D390" t="s">
        <v>2235</v>
      </c>
    </row>
    <row r="391" spans="4:4" x14ac:dyDescent="0.25">
      <c r="D391" t="s">
        <v>2236</v>
      </c>
    </row>
    <row r="392" spans="4:4" x14ac:dyDescent="0.25">
      <c r="D392" t="s">
        <v>2237</v>
      </c>
    </row>
    <row r="393" spans="4:4" x14ac:dyDescent="0.25">
      <c r="D393" t="s">
        <v>2238</v>
      </c>
    </row>
    <row r="394" spans="4:4" x14ac:dyDescent="0.25">
      <c r="D394" t="s">
        <v>2239</v>
      </c>
    </row>
    <row r="395" spans="4:4" x14ac:dyDescent="0.25">
      <c r="D395" t="s">
        <v>2240</v>
      </c>
    </row>
    <row r="396" spans="4:4" x14ac:dyDescent="0.25">
      <c r="D396" t="s">
        <v>2241</v>
      </c>
    </row>
    <row r="397" spans="4:4" x14ac:dyDescent="0.25">
      <c r="D397" t="s">
        <v>2242</v>
      </c>
    </row>
    <row r="398" spans="4:4" x14ac:dyDescent="0.25">
      <c r="D398" t="s">
        <v>2243</v>
      </c>
    </row>
    <row r="399" spans="4:4" x14ac:dyDescent="0.25">
      <c r="D399" t="s">
        <v>2244</v>
      </c>
    </row>
    <row r="400" spans="4:4" x14ac:dyDescent="0.25">
      <c r="D400" t="s">
        <v>2245</v>
      </c>
    </row>
    <row r="401" spans="4:4" x14ac:dyDescent="0.25">
      <c r="D401" t="s">
        <v>2246</v>
      </c>
    </row>
    <row r="402" spans="4:4" x14ac:dyDescent="0.25">
      <c r="D402" t="s">
        <v>2247</v>
      </c>
    </row>
    <row r="403" spans="4:4" x14ac:dyDescent="0.25">
      <c r="D403" t="s">
        <v>2248</v>
      </c>
    </row>
    <row r="404" spans="4:4" x14ac:dyDescent="0.25">
      <c r="D404" t="s">
        <v>2249</v>
      </c>
    </row>
    <row r="405" spans="4:4" x14ac:dyDescent="0.25">
      <c r="D405" t="s">
        <v>2250</v>
      </c>
    </row>
    <row r="406" spans="4:4" x14ac:dyDescent="0.25">
      <c r="D406" t="s">
        <v>2251</v>
      </c>
    </row>
    <row r="407" spans="4:4" x14ac:dyDescent="0.25">
      <c r="D407" t="s">
        <v>2252</v>
      </c>
    </row>
    <row r="408" spans="4:4" x14ac:dyDescent="0.25">
      <c r="D408" t="s">
        <v>2253</v>
      </c>
    </row>
    <row r="409" spans="4:4" x14ac:dyDescent="0.25">
      <c r="D409" t="s">
        <v>2254</v>
      </c>
    </row>
    <row r="410" spans="4:4" x14ac:dyDescent="0.25">
      <c r="D410" t="s">
        <v>2255</v>
      </c>
    </row>
    <row r="411" spans="4:4" x14ac:dyDescent="0.25">
      <c r="D411" t="s">
        <v>2256</v>
      </c>
    </row>
    <row r="412" spans="4:4" x14ac:dyDescent="0.25">
      <c r="D412" t="s">
        <v>2257</v>
      </c>
    </row>
    <row r="413" spans="4:4" x14ac:dyDescent="0.25">
      <c r="D413" t="s">
        <v>2258</v>
      </c>
    </row>
    <row r="414" spans="4:4" x14ac:dyDescent="0.25">
      <c r="D414" t="s">
        <v>2259</v>
      </c>
    </row>
    <row r="415" spans="4:4" x14ac:dyDescent="0.25">
      <c r="D415" t="s">
        <v>2260</v>
      </c>
    </row>
    <row r="416" spans="4:4" x14ac:dyDescent="0.25">
      <c r="D416" t="s">
        <v>2261</v>
      </c>
    </row>
    <row r="417" spans="4:4" x14ac:dyDescent="0.25">
      <c r="D417" t="s">
        <v>2262</v>
      </c>
    </row>
    <row r="418" spans="4:4" x14ac:dyDescent="0.25">
      <c r="D418" t="s">
        <v>2263</v>
      </c>
    </row>
    <row r="419" spans="4:4" x14ac:dyDescent="0.25">
      <c r="D419" t="s">
        <v>2264</v>
      </c>
    </row>
    <row r="420" spans="4:4" x14ac:dyDescent="0.25">
      <c r="D420" t="s">
        <v>2265</v>
      </c>
    </row>
    <row r="421" spans="4:4" x14ac:dyDescent="0.25">
      <c r="D421" t="s">
        <v>2266</v>
      </c>
    </row>
    <row r="422" spans="4:4" x14ac:dyDescent="0.25">
      <c r="D422" t="s">
        <v>2267</v>
      </c>
    </row>
    <row r="423" spans="4:4" x14ac:dyDescent="0.25">
      <c r="D423" t="s">
        <v>2268</v>
      </c>
    </row>
    <row r="424" spans="4:4" x14ac:dyDescent="0.25">
      <c r="D424" t="s">
        <v>2269</v>
      </c>
    </row>
    <row r="425" spans="4:4" x14ac:dyDescent="0.25">
      <c r="D425" t="s">
        <v>2270</v>
      </c>
    </row>
    <row r="426" spans="4:4" x14ac:dyDescent="0.25">
      <c r="D426" t="s">
        <v>2271</v>
      </c>
    </row>
    <row r="427" spans="4:4" x14ac:dyDescent="0.25">
      <c r="D427" t="s">
        <v>2272</v>
      </c>
    </row>
    <row r="428" spans="4:4" x14ac:dyDescent="0.25">
      <c r="D428" t="s">
        <v>2273</v>
      </c>
    </row>
    <row r="429" spans="4:4" x14ac:dyDescent="0.25">
      <c r="D429" t="s">
        <v>2274</v>
      </c>
    </row>
    <row r="430" spans="4:4" x14ac:dyDescent="0.25">
      <c r="D430" t="s">
        <v>2275</v>
      </c>
    </row>
    <row r="431" spans="4:4" x14ac:dyDescent="0.25">
      <c r="D431" t="s">
        <v>2276</v>
      </c>
    </row>
    <row r="432" spans="4:4" x14ac:dyDescent="0.25">
      <c r="D432" t="s">
        <v>2277</v>
      </c>
    </row>
    <row r="433" spans="4:4" x14ac:dyDescent="0.25">
      <c r="D433" t="s">
        <v>2278</v>
      </c>
    </row>
    <row r="434" spans="4:4" x14ac:dyDescent="0.25">
      <c r="D434" t="s">
        <v>2279</v>
      </c>
    </row>
    <row r="435" spans="4:4" x14ac:dyDescent="0.25">
      <c r="D435" t="s">
        <v>2280</v>
      </c>
    </row>
    <row r="436" spans="4:4" x14ac:dyDescent="0.25">
      <c r="D436" t="s">
        <v>2281</v>
      </c>
    </row>
    <row r="437" spans="4:4" x14ac:dyDescent="0.25">
      <c r="D437" t="s">
        <v>2282</v>
      </c>
    </row>
    <row r="438" spans="4:4" x14ac:dyDescent="0.25">
      <c r="D438" t="s">
        <v>2283</v>
      </c>
    </row>
    <row r="439" spans="4:4" x14ac:dyDescent="0.25">
      <c r="D439" t="s">
        <v>2284</v>
      </c>
    </row>
    <row r="440" spans="4:4" x14ac:dyDescent="0.25">
      <c r="D440" t="s">
        <v>2285</v>
      </c>
    </row>
    <row r="441" spans="4:4" x14ac:dyDescent="0.25">
      <c r="D441" t="s">
        <v>2286</v>
      </c>
    </row>
    <row r="442" spans="4:4" x14ac:dyDescent="0.25">
      <c r="D442" t="s">
        <v>2287</v>
      </c>
    </row>
    <row r="443" spans="4:4" x14ac:dyDescent="0.25">
      <c r="D443" t="s">
        <v>2288</v>
      </c>
    </row>
    <row r="444" spans="4:4" x14ac:dyDescent="0.25">
      <c r="D444" t="s">
        <v>2289</v>
      </c>
    </row>
    <row r="445" spans="4:4" x14ac:dyDescent="0.25">
      <c r="D445" t="s">
        <v>2290</v>
      </c>
    </row>
    <row r="446" spans="4:4" x14ac:dyDescent="0.25">
      <c r="D446" t="s">
        <v>2291</v>
      </c>
    </row>
    <row r="447" spans="4:4" x14ac:dyDescent="0.25">
      <c r="D447" t="s">
        <v>2292</v>
      </c>
    </row>
    <row r="448" spans="4:4" x14ac:dyDescent="0.25">
      <c r="D448" t="s">
        <v>2293</v>
      </c>
    </row>
    <row r="449" spans="4:4" x14ac:dyDescent="0.25">
      <c r="D449" t="s">
        <v>2294</v>
      </c>
    </row>
    <row r="450" spans="4:4" x14ac:dyDescent="0.25">
      <c r="D450" t="s">
        <v>2295</v>
      </c>
    </row>
    <row r="451" spans="4:4" x14ac:dyDescent="0.25">
      <c r="D451" t="s">
        <v>2296</v>
      </c>
    </row>
    <row r="452" spans="4:4" x14ac:dyDescent="0.25">
      <c r="D452" t="s">
        <v>2297</v>
      </c>
    </row>
    <row r="453" spans="4:4" x14ac:dyDescent="0.25">
      <c r="D453" t="s">
        <v>2298</v>
      </c>
    </row>
    <row r="454" spans="4:4" x14ac:dyDescent="0.25">
      <c r="D454" t="s">
        <v>2299</v>
      </c>
    </row>
    <row r="455" spans="4:4" x14ac:dyDescent="0.25">
      <c r="D455" t="s">
        <v>2300</v>
      </c>
    </row>
    <row r="456" spans="4:4" x14ac:dyDescent="0.25">
      <c r="D456" t="s">
        <v>2301</v>
      </c>
    </row>
    <row r="457" spans="4:4" x14ac:dyDescent="0.25">
      <c r="D457" t="s">
        <v>2302</v>
      </c>
    </row>
    <row r="458" spans="4:4" x14ac:dyDescent="0.25">
      <c r="D458" t="s">
        <v>2303</v>
      </c>
    </row>
    <row r="459" spans="4:4" x14ac:dyDescent="0.25">
      <c r="D459" t="s">
        <v>2304</v>
      </c>
    </row>
    <row r="460" spans="4:4" x14ac:dyDescent="0.25">
      <c r="D460" t="s">
        <v>2305</v>
      </c>
    </row>
    <row r="461" spans="4:4" x14ac:dyDescent="0.25">
      <c r="D461" t="s">
        <v>2306</v>
      </c>
    </row>
    <row r="462" spans="4:4" x14ac:dyDescent="0.25">
      <c r="D462" t="s">
        <v>2307</v>
      </c>
    </row>
    <row r="463" spans="4:4" x14ac:dyDescent="0.25">
      <c r="D463" t="s">
        <v>2308</v>
      </c>
    </row>
    <row r="464" spans="4:4" x14ac:dyDescent="0.25">
      <c r="D464" t="s">
        <v>2309</v>
      </c>
    </row>
    <row r="465" spans="4:4" x14ac:dyDescent="0.25">
      <c r="D465" t="s">
        <v>2310</v>
      </c>
    </row>
    <row r="466" spans="4:4" x14ac:dyDescent="0.25">
      <c r="D466" t="s">
        <v>2311</v>
      </c>
    </row>
    <row r="467" spans="4:4" x14ac:dyDescent="0.25">
      <c r="D467" t="s">
        <v>2312</v>
      </c>
    </row>
    <row r="468" spans="4:4" x14ac:dyDescent="0.25">
      <c r="D468" t="s">
        <v>2313</v>
      </c>
    </row>
    <row r="469" spans="4:4" x14ac:dyDescent="0.25">
      <c r="D469" t="s">
        <v>2314</v>
      </c>
    </row>
    <row r="470" spans="4:4" x14ac:dyDescent="0.25">
      <c r="D470" t="s">
        <v>2315</v>
      </c>
    </row>
    <row r="471" spans="4:4" x14ac:dyDescent="0.25">
      <c r="D471" t="s">
        <v>2316</v>
      </c>
    </row>
    <row r="472" spans="4:4" x14ac:dyDescent="0.25">
      <c r="D472" t="s">
        <v>2317</v>
      </c>
    </row>
    <row r="473" spans="4:4" x14ac:dyDescent="0.25">
      <c r="D473" t="s">
        <v>2318</v>
      </c>
    </row>
    <row r="474" spans="4:4" x14ac:dyDescent="0.25">
      <c r="D474" t="s">
        <v>2319</v>
      </c>
    </row>
    <row r="475" spans="4:4" x14ac:dyDescent="0.25">
      <c r="D475" t="s">
        <v>2320</v>
      </c>
    </row>
    <row r="476" spans="4:4" x14ac:dyDescent="0.25">
      <c r="D476" t="s">
        <v>2321</v>
      </c>
    </row>
    <row r="477" spans="4:4" x14ac:dyDescent="0.25">
      <c r="D477" t="s">
        <v>2322</v>
      </c>
    </row>
    <row r="478" spans="4:4" x14ac:dyDescent="0.25">
      <c r="D478" t="s">
        <v>2323</v>
      </c>
    </row>
    <row r="479" spans="4:4" x14ac:dyDescent="0.25">
      <c r="D479" t="s">
        <v>2324</v>
      </c>
    </row>
    <row r="480" spans="4:4" x14ac:dyDescent="0.25">
      <c r="D480" t="s">
        <v>2325</v>
      </c>
    </row>
    <row r="481" spans="4:4" x14ac:dyDescent="0.25">
      <c r="D481" t="s">
        <v>2326</v>
      </c>
    </row>
    <row r="482" spans="4:4" x14ac:dyDescent="0.25">
      <c r="D482" t="s">
        <v>2327</v>
      </c>
    </row>
    <row r="483" spans="4:4" x14ac:dyDescent="0.25">
      <c r="D483" t="s">
        <v>2328</v>
      </c>
    </row>
    <row r="484" spans="4:4" x14ac:dyDescent="0.25">
      <c r="D484" t="s">
        <v>2329</v>
      </c>
    </row>
    <row r="485" spans="4:4" x14ac:dyDescent="0.25">
      <c r="D485" t="s">
        <v>2330</v>
      </c>
    </row>
    <row r="486" spans="4:4" x14ac:dyDescent="0.25">
      <c r="D486" t="s">
        <v>2331</v>
      </c>
    </row>
    <row r="487" spans="4:4" x14ac:dyDescent="0.25">
      <c r="D487" t="s">
        <v>2332</v>
      </c>
    </row>
    <row r="488" spans="4:4" x14ac:dyDescent="0.25">
      <c r="D488" t="s">
        <v>2333</v>
      </c>
    </row>
    <row r="489" spans="4:4" x14ac:dyDescent="0.25">
      <c r="D489" t="s">
        <v>2334</v>
      </c>
    </row>
    <row r="490" spans="4:4" x14ac:dyDescent="0.25">
      <c r="D490" t="s">
        <v>2335</v>
      </c>
    </row>
    <row r="491" spans="4:4" x14ac:dyDescent="0.25">
      <c r="D491" t="s">
        <v>2336</v>
      </c>
    </row>
    <row r="492" spans="4:4" x14ac:dyDescent="0.25">
      <c r="D492" t="s">
        <v>2337</v>
      </c>
    </row>
    <row r="493" spans="4:4" x14ac:dyDescent="0.25">
      <c r="D493" t="s">
        <v>2338</v>
      </c>
    </row>
    <row r="494" spans="4:4" x14ac:dyDescent="0.25">
      <c r="D494" t="s">
        <v>2339</v>
      </c>
    </row>
    <row r="495" spans="4:4" x14ac:dyDescent="0.25">
      <c r="D495" t="s">
        <v>2340</v>
      </c>
    </row>
    <row r="496" spans="4:4" x14ac:dyDescent="0.25">
      <c r="D496" t="s">
        <v>2341</v>
      </c>
    </row>
    <row r="497" spans="4:4" x14ac:dyDescent="0.25">
      <c r="D497" t="s">
        <v>2342</v>
      </c>
    </row>
    <row r="498" spans="4:4" x14ac:dyDescent="0.25">
      <c r="D498" t="s">
        <v>2343</v>
      </c>
    </row>
    <row r="499" spans="4:4" x14ac:dyDescent="0.25">
      <c r="D499" t="s">
        <v>2344</v>
      </c>
    </row>
    <row r="500" spans="4:4" x14ac:dyDescent="0.25">
      <c r="D500" t="s">
        <v>2345</v>
      </c>
    </row>
    <row r="501" spans="4:4" x14ac:dyDescent="0.25">
      <c r="D501" t="s">
        <v>2346</v>
      </c>
    </row>
    <row r="502" spans="4:4" x14ac:dyDescent="0.25">
      <c r="D502" t="s">
        <v>2347</v>
      </c>
    </row>
    <row r="503" spans="4:4" x14ac:dyDescent="0.25">
      <c r="D503" t="s">
        <v>2348</v>
      </c>
    </row>
    <row r="504" spans="4:4" x14ac:dyDescent="0.25">
      <c r="D504" t="s">
        <v>2349</v>
      </c>
    </row>
    <row r="505" spans="4:4" x14ac:dyDescent="0.25">
      <c r="D505" t="s">
        <v>2350</v>
      </c>
    </row>
    <row r="506" spans="4:4" x14ac:dyDescent="0.25">
      <c r="D506" t="s">
        <v>2351</v>
      </c>
    </row>
    <row r="507" spans="4:4" x14ac:dyDescent="0.25">
      <c r="D507" t="s">
        <v>2352</v>
      </c>
    </row>
    <row r="508" spans="4:4" x14ac:dyDescent="0.25">
      <c r="D508" t="s">
        <v>2353</v>
      </c>
    </row>
    <row r="509" spans="4:4" x14ac:dyDescent="0.25">
      <c r="D509" t="s">
        <v>2354</v>
      </c>
    </row>
    <row r="510" spans="4:4" x14ac:dyDescent="0.25">
      <c r="D510" t="s">
        <v>2355</v>
      </c>
    </row>
    <row r="511" spans="4:4" x14ac:dyDescent="0.25">
      <c r="D511" t="s">
        <v>2356</v>
      </c>
    </row>
    <row r="512" spans="4:4" x14ac:dyDescent="0.25">
      <c r="D512" t="s">
        <v>2357</v>
      </c>
    </row>
    <row r="513" spans="4:4" x14ac:dyDescent="0.25">
      <c r="D513" t="s">
        <v>2358</v>
      </c>
    </row>
    <row r="514" spans="4:4" x14ac:dyDescent="0.25">
      <c r="D514" t="s">
        <v>2359</v>
      </c>
    </row>
    <row r="515" spans="4:4" x14ac:dyDescent="0.25">
      <c r="D515" t="s">
        <v>2360</v>
      </c>
    </row>
    <row r="516" spans="4:4" x14ac:dyDescent="0.25">
      <c r="D516" t="s">
        <v>2361</v>
      </c>
    </row>
    <row r="517" spans="4:4" x14ac:dyDescent="0.25">
      <c r="D517" t="s">
        <v>2362</v>
      </c>
    </row>
    <row r="518" spans="4:4" x14ac:dyDescent="0.25">
      <c r="D518" t="s">
        <v>2363</v>
      </c>
    </row>
    <row r="519" spans="4:4" x14ac:dyDescent="0.25">
      <c r="D519" t="s">
        <v>2364</v>
      </c>
    </row>
    <row r="520" spans="4:4" x14ac:dyDescent="0.25">
      <c r="D520" t="s">
        <v>2365</v>
      </c>
    </row>
    <row r="521" spans="4:4" x14ac:dyDescent="0.25">
      <c r="D521" t="s">
        <v>2366</v>
      </c>
    </row>
    <row r="522" spans="4:4" x14ac:dyDescent="0.25">
      <c r="D522" t="s">
        <v>2367</v>
      </c>
    </row>
    <row r="523" spans="4:4" x14ac:dyDescent="0.25">
      <c r="D523" t="s">
        <v>2368</v>
      </c>
    </row>
    <row r="524" spans="4:4" x14ac:dyDescent="0.25">
      <c r="D524" t="s">
        <v>2369</v>
      </c>
    </row>
    <row r="525" spans="4:4" x14ac:dyDescent="0.25">
      <c r="D525" t="s">
        <v>2370</v>
      </c>
    </row>
    <row r="526" spans="4:4" x14ac:dyDescent="0.25">
      <c r="D526" t="s">
        <v>2371</v>
      </c>
    </row>
    <row r="527" spans="4:4" x14ac:dyDescent="0.25">
      <c r="D527" t="s">
        <v>2372</v>
      </c>
    </row>
    <row r="528" spans="4:4" x14ac:dyDescent="0.25">
      <c r="D528" t="s">
        <v>2373</v>
      </c>
    </row>
    <row r="529" spans="4:4" x14ac:dyDescent="0.25">
      <c r="D529" t="s">
        <v>2374</v>
      </c>
    </row>
    <row r="530" spans="4:4" x14ac:dyDescent="0.25">
      <c r="D530" t="s">
        <v>2375</v>
      </c>
    </row>
    <row r="531" spans="4:4" x14ac:dyDescent="0.25">
      <c r="D531" t="s">
        <v>2376</v>
      </c>
    </row>
    <row r="532" spans="4:4" x14ac:dyDescent="0.25">
      <c r="D532" t="s">
        <v>2377</v>
      </c>
    </row>
    <row r="533" spans="4:4" x14ac:dyDescent="0.25">
      <c r="D533" t="s">
        <v>2378</v>
      </c>
    </row>
    <row r="534" spans="4:4" x14ac:dyDescent="0.25">
      <c r="D534" t="s">
        <v>2379</v>
      </c>
    </row>
    <row r="535" spans="4:4" x14ac:dyDescent="0.25">
      <c r="D535" t="s">
        <v>2380</v>
      </c>
    </row>
    <row r="536" spans="4:4" x14ac:dyDescent="0.25">
      <c r="D536" t="s">
        <v>2381</v>
      </c>
    </row>
    <row r="537" spans="4:4" x14ac:dyDescent="0.25">
      <c r="D537" t="s">
        <v>2382</v>
      </c>
    </row>
    <row r="538" spans="4:4" x14ac:dyDescent="0.25">
      <c r="D538" t="s">
        <v>2383</v>
      </c>
    </row>
    <row r="539" spans="4:4" x14ac:dyDescent="0.25">
      <c r="D539" t="s">
        <v>2384</v>
      </c>
    </row>
    <row r="540" spans="4:4" x14ac:dyDescent="0.25">
      <c r="D540" t="s">
        <v>2385</v>
      </c>
    </row>
    <row r="541" spans="4:4" x14ac:dyDescent="0.25">
      <c r="D541" t="s">
        <v>2386</v>
      </c>
    </row>
    <row r="542" spans="4:4" x14ac:dyDescent="0.25">
      <c r="D542" t="s">
        <v>2387</v>
      </c>
    </row>
    <row r="543" spans="4:4" x14ac:dyDescent="0.25">
      <c r="D543" t="s">
        <v>2388</v>
      </c>
    </row>
    <row r="544" spans="4:4" x14ac:dyDescent="0.25">
      <c r="D544" t="s">
        <v>2389</v>
      </c>
    </row>
    <row r="545" spans="4:4" x14ac:dyDescent="0.25">
      <c r="D545" t="s">
        <v>2390</v>
      </c>
    </row>
    <row r="546" spans="4:4" x14ac:dyDescent="0.25">
      <c r="D546" t="s">
        <v>2391</v>
      </c>
    </row>
    <row r="547" spans="4:4" x14ac:dyDescent="0.25">
      <c r="D547" t="s">
        <v>2392</v>
      </c>
    </row>
    <row r="548" spans="4:4" x14ac:dyDescent="0.25">
      <c r="D548" t="s">
        <v>2393</v>
      </c>
    </row>
    <row r="549" spans="4:4" x14ac:dyDescent="0.25">
      <c r="D549" t="s">
        <v>2394</v>
      </c>
    </row>
    <row r="550" spans="4:4" x14ac:dyDescent="0.25">
      <c r="D550" t="s">
        <v>2395</v>
      </c>
    </row>
    <row r="551" spans="4:4" x14ac:dyDescent="0.25">
      <c r="D551" t="s">
        <v>2396</v>
      </c>
    </row>
    <row r="552" spans="4:4" x14ac:dyDescent="0.25">
      <c r="D552" t="s">
        <v>2397</v>
      </c>
    </row>
    <row r="553" spans="4:4" x14ac:dyDescent="0.25">
      <c r="D553" t="s">
        <v>2398</v>
      </c>
    </row>
    <row r="554" spans="4:4" x14ac:dyDescent="0.25">
      <c r="D554" t="s">
        <v>2399</v>
      </c>
    </row>
    <row r="555" spans="4:4" x14ac:dyDescent="0.25">
      <c r="D555" t="s">
        <v>2400</v>
      </c>
    </row>
    <row r="556" spans="4:4" x14ac:dyDescent="0.25">
      <c r="D556" t="s">
        <v>2401</v>
      </c>
    </row>
    <row r="557" spans="4:4" x14ac:dyDescent="0.25">
      <c r="D557" t="s">
        <v>2402</v>
      </c>
    </row>
    <row r="558" spans="4:4" x14ac:dyDescent="0.25">
      <c r="D558" t="s">
        <v>2403</v>
      </c>
    </row>
    <row r="559" spans="4:4" x14ac:dyDescent="0.25">
      <c r="D559" t="s">
        <v>2404</v>
      </c>
    </row>
    <row r="560" spans="4:4" x14ac:dyDescent="0.25">
      <c r="D560" t="s">
        <v>2405</v>
      </c>
    </row>
    <row r="561" spans="4:4" x14ac:dyDescent="0.25">
      <c r="D561" t="s">
        <v>2406</v>
      </c>
    </row>
    <row r="562" spans="4:4" x14ac:dyDescent="0.25">
      <c r="D562" t="s">
        <v>2407</v>
      </c>
    </row>
    <row r="563" spans="4:4" x14ac:dyDescent="0.25">
      <c r="D563" t="s">
        <v>2408</v>
      </c>
    </row>
    <row r="564" spans="4:4" x14ac:dyDescent="0.25">
      <c r="D564" t="s">
        <v>2409</v>
      </c>
    </row>
    <row r="565" spans="4:4" x14ac:dyDescent="0.25">
      <c r="D565" t="s">
        <v>2410</v>
      </c>
    </row>
    <row r="566" spans="4:4" x14ac:dyDescent="0.25">
      <c r="D566" t="s">
        <v>2411</v>
      </c>
    </row>
    <row r="567" spans="4:4" x14ac:dyDescent="0.25">
      <c r="D567" t="s">
        <v>2412</v>
      </c>
    </row>
    <row r="568" spans="4:4" x14ac:dyDescent="0.25">
      <c r="D568" t="s">
        <v>2413</v>
      </c>
    </row>
    <row r="569" spans="4:4" x14ac:dyDescent="0.25">
      <c r="D569" t="s">
        <v>2414</v>
      </c>
    </row>
    <row r="570" spans="4:4" x14ac:dyDescent="0.25">
      <c r="D570" t="s">
        <v>2415</v>
      </c>
    </row>
    <row r="571" spans="4:4" x14ac:dyDescent="0.25">
      <c r="D571" t="s">
        <v>2416</v>
      </c>
    </row>
    <row r="572" spans="4:4" x14ac:dyDescent="0.25">
      <c r="D572" t="s">
        <v>2417</v>
      </c>
    </row>
    <row r="573" spans="4:4" x14ac:dyDescent="0.25">
      <c r="D573" t="s">
        <v>2418</v>
      </c>
    </row>
    <row r="574" spans="4:4" x14ac:dyDescent="0.25">
      <c r="D574" t="s">
        <v>2419</v>
      </c>
    </row>
    <row r="575" spans="4:4" x14ac:dyDescent="0.25">
      <c r="D575" t="s">
        <v>2420</v>
      </c>
    </row>
    <row r="576" spans="4:4" x14ac:dyDescent="0.25">
      <c r="D576" t="s">
        <v>2421</v>
      </c>
    </row>
    <row r="577" spans="4:4" x14ac:dyDescent="0.25">
      <c r="D577" t="s">
        <v>2422</v>
      </c>
    </row>
    <row r="578" spans="4:4" x14ac:dyDescent="0.25">
      <c r="D578" t="s">
        <v>2423</v>
      </c>
    </row>
    <row r="579" spans="4:4" x14ac:dyDescent="0.25">
      <c r="D579" t="s">
        <v>2424</v>
      </c>
    </row>
    <row r="580" spans="4:4" x14ac:dyDescent="0.25">
      <c r="D580" t="s">
        <v>2425</v>
      </c>
    </row>
    <row r="581" spans="4:4" x14ac:dyDescent="0.25">
      <c r="D581" t="s">
        <v>2426</v>
      </c>
    </row>
    <row r="582" spans="4:4" x14ac:dyDescent="0.25">
      <c r="D582" t="s">
        <v>2427</v>
      </c>
    </row>
    <row r="583" spans="4:4" x14ac:dyDescent="0.25">
      <c r="D583" t="s">
        <v>2428</v>
      </c>
    </row>
    <row r="584" spans="4:4" x14ac:dyDescent="0.25">
      <c r="D584" t="s">
        <v>2429</v>
      </c>
    </row>
    <row r="585" spans="4:4" x14ac:dyDescent="0.25">
      <c r="D585" t="s">
        <v>2430</v>
      </c>
    </row>
    <row r="586" spans="4:4" x14ac:dyDescent="0.25">
      <c r="D586" t="s">
        <v>2431</v>
      </c>
    </row>
    <row r="587" spans="4:4" x14ac:dyDescent="0.25">
      <c r="D587" t="s">
        <v>2432</v>
      </c>
    </row>
    <row r="588" spans="4:4" x14ac:dyDescent="0.25">
      <c r="D588" t="s">
        <v>2433</v>
      </c>
    </row>
    <row r="589" spans="4:4" x14ac:dyDescent="0.25">
      <c r="D589" t="s">
        <v>2434</v>
      </c>
    </row>
    <row r="590" spans="4:4" x14ac:dyDescent="0.25">
      <c r="D590" t="s">
        <v>2435</v>
      </c>
    </row>
    <row r="591" spans="4:4" x14ac:dyDescent="0.25">
      <c r="D591" t="s">
        <v>2436</v>
      </c>
    </row>
    <row r="592" spans="4:4" x14ac:dyDescent="0.25">
      <c r="D592" t="s">
        <v>2437</v>
      </c>
    </row>
    <row r="593" spans="4:4" x14ac:dyDescent="0.25">
      <c r="D593" t="s">
        <v>2438</v>
      </c>
    </row>
    <row r="594" spans="4:4" x14ac:dyDescent="0.25">
      <c r="D594" t="s">
        <v>2439</v>
      </c>
    </row>
    <row r="595" spans="4:4" x14ac:dyDescent="0.25">
      <c r="D595" t="s">
        <v>2440</v>
      </c>
    </row>
    <row r="596" spans="4:4" x14ac:dyDescent="0.25">
      <c r="D596" t="s">
        <v>2441</v>
      </c>
    </row>
    <row r="597" spans="4:4" x14ac:dyDescent="0.25">
      <c r="D597" t="s">
        <v>2442</v>
      </c>
    </row>
    <row r="598" spans="4:4" x14ac:dyDescent="0.25">
      <c r="D598" t="s">
        <v>2443</v>
      </c>
    </row>
    <row r="599" spans="4:4" x14ac:dyDescent="0.25">
      <c r="D599" t="s">
        <v>2444</v>
      </c>
    </row>
    <row r="600" spans="4:4" x14ac:dyDescent="0.25">
      <c r="D600" t="s">
        <v>2445</v>
      </c>
    </row>
    <row r="601" spans="4:4" x14ac:dyDescent="0.25">
      <c r="D601" t="s">
        <v>2446</v>
      </c>
    </row>
    <row r="602" spans="4:4" x14ac:dyDescent="0.25">
      <c r="D602" t="s">
        <v>2447</v>
      </c>
    </row>
    <row r="603" spans="4:4" x14ac:dyDescent="0.25">
      <c r="D603" t="s">
        <v>2448</v>
      </c>
    </row>
    <row r="604" spans="4:4" x14ac:dyDescent="0.25">
      <c r="D604" t="s">
        <v>2449</v>
      </c>
    </row>
    <row r="605" spans="4:4" x14ac:dyDescent="0.25">
      <c r="D605" t="s">
        <v>2450</v>
      </c>
    </row>
    <row r="606" spans="4:4" x14ac:dyDescent="0.25">
      <c r="D606" t="s">
        <v>2451</v>
      </c>
    </row>
    <row r="607" spans="4:4" x14ac:dyDescent="0.25">
      <c r="D607" t="s">
        <v>2452</v>
      </c>
    </row>
    <row r="608" spans="4:4" x14ac:dyDescent="0.25">
      <c r="D608" t="s">
        <v>2453</v>
      </c>
    </row>
    <row r="609" spans="4:4" x14ac:dyDescent="0.25">
      <c r="D609" t="s">
        <v>2454</v>
      </c>
    </row>
    <row r="610" spans="4:4" x14ac:dyDescent="0.25">
      <c r="D610" t="s">
        <v>2455</v>
      </c>
    </row>
    <row r="611" spans="4:4" x14ac:dyDescent="0.25">
      <c r="D611" t="s">
        <v>2456</v>
      </c>
    </row>
    <row r="612" spans="4:4" x14ac:dyDescent="0.25">
      <c r="D612" t="s">
        <v>2457</v>
      </c>
    </row>
    <row r="613" spans="4:4" x14ac:dyDescent="0.25">
      <c r="D613" t="s">
        <v>2458</v>
      </c>
    </row>
    <row r="614" spans="4:4" x14ac:dyDescent="0.25">
      <c r="D614" t="s">
        <v>2459</v>
      </c>
    </row>
    <row r="615" spans="4:4" x14ac:dyDescent="0.25">
      <c r="D615" t="s">
        <v>2460</v>
      </c>
    </row>
    <row r="616" spans="4:4" x14ac:dyDescent="0.25">
      <c r="D616" t="s">
        <v>2461</v>
      </c>
    </row>
    <row r="617" spans="4:4" x14ac:dyDescent="0.25">
      <c r="D617" t="s">
        <v>2462</v>
      </c>
    </row>
    <row r="618" spans="4:4" x14ac:dyDescent="0.25">
      <c r="D618" t="s">
        <v>2463</v>
      </c>
    </row>
    <row r="619" spans="4:4" x14ac:dyDescent="0.25">
      <c r="D619" t="s">
        <v>2464</v>
      </c>
    </row>
    <row r="620" spans="4:4" x14ac:dyDescent="0.25">
      <c r="D620" t="s">
        <v>2465</v>
      </c>
    </row>
    <row r="621" spans="4:4" x14ac:dyDescent="0.25">
      <c r="D621" t="s">
        <v>2466</v>
      </c>
    </row>
    <row r="622" spans="4:4" x14ac:dyDescent="0.25">
      <c r="D622" t="s">
        <v>2467</v>
      </c>
    </row>
    <row r="623" spans="4:4" x14ac:dyDescent="0.25">
      <c r="D623" t="s">
        <v>2468</v>
      </c>
    </row>
    <row r="624" spans="4:4" x14ac:dyDescent="0.25">
      <c r="D624" t="s">
        <v>2469</v>
      </c>
    </row>
    <row r="625" spans="4:4" x14ac:dyDescent="0.25">
      <c r="D625" t="s">
        <v>2470</v>
      </c>
    </row>
    <row r="626" spans="4:4" x14ac:dyDescent="0.25">
      <c r="D626" t="s">
        <v>2471</v>
      </c>
    </row>
    <row r="627" spans="4:4" x14ac:dyDescent="0.25">
      <c r="D627" t="s">
        <v>2472</v>
      </c>
    </row>
    <row r="628" spans="4:4" x14ac:dyDescent="0.25">
      <c r="D628" t="s">
        <v>2473</v>
      </c>
    </row>
    <row r="629" spans="4:4" x14ac:dyDescent="0.25">
      <c r="D629" t="s">
        <v>2474</v>
      </c>
    </row>
    <row r="630" spans="4:4" x14ac:dyDescent="0.25">
      <c r="D630" t="s">
        <v>2475</v>
      </c>
    </row>
    <row r="631" spans="4:4" x14ac:dyDescent="0.25">
      <c r="D631" t="s">
        <v>2476</v>
      </c>
    </row>
    <row r="632" spans="4:4" x14ac:dyDescent="0.25">
      <c r="D632" t="s">
        <v>2477</v>
      </c>
    </row>
    <row r="633" spans="4:4" x14ac:dyDescent="0.25">
      <c r="D633" t="s">
        <v>2478</v>
      </c>
    </row>
    <row r="634" spans="4:4" x14ac:dyDescent="0.25">
      <c r="D634" t="s">
        <v>2479</v>
      </c>
    </row>
    <row r="635" spans="4:4" x14ac:dyDescent="0.25">
      <c r="D635" t="s">
        <v>2480</v>
      </c>
    </row>
    <row r="636" spans="4:4" x14ac:dyDescent="0.25">
      <c r="D636" t="s">
        <v>2481</v>
      </c>
    </row>
    <row r="637" spans="4:4" x14ac:dyDescent="0.25">
      <c r="D637" t="s">
        <v>2482</v>
      </c>
    </row>
    <row r="638" spans="4:4" x14ac:dyDescent="0.25">
      <c r="D638" t="s">
        <v>2483</v>
      </c>
    </row>
    <row r="639" spans="4:4" x14ac:dyDescent="0.25">
      <c r="D639" t="s">
        <v>2484</v>
      </c>
    </row>
    <row r="640" spans="4:4" x14ac:dyDescent="0.25">
      <c r="D640" t="s">
        <v>2485</v>
      </c>
    </row>
    <row r="641" spans="4:4" x14ac:dyDescent="0.25">
      <c r="D641" t="s">
        <v>2486</v>
      </c>
    </row>
    <row r="642" spans="4:4" x14ac:dyDescent="0.25">
      <c r="D642" t="s">
        <v>2487</v>
      </c>
    </row>
    <row r="643" spans="4:4" x14ac:dyDescent="0.25">
      <c r="D643" t="s">
        <v>2488</v>
      </c>
    </row>
    <row r="644" spans="4:4" x14ac:dyDescent="0.25">
      <c r="D644" t="s">
        <v>2489</v>
      </c>
    </row>
    <row r="645" spans="4:4" x14ac:dyDescent="0.25">
      <c r="D645" t="s">
        <v>2490</v>
      </c>
    </row>
    <row r="646" spans="4:4" x14ac:dyDescent="0.25">
      <c r="D646" t="s">
        <v>2491</v>
      </c>
    </row>
    <row r="647" spans="4:4" x14ac:dyDescent="0.25">
      <c r="D647" t="s">
        <v>2492</v>
      </c>
    </row>
    <row r="648" spans="4:4" x14ac:dyDescent="0.25">
      <c r="D648" t="s">
        <v>2493</v>
      </c>
    </row>
    <row r="649" spans="4:4" x14ac:dyDescent="0.25">
      <c r="D649" t="s">
        <v>2494</v>
      </c>
    </row>
    <row r="650" spans="4:4" x14ac:dyDescent="0.25">
      <c r="D650" t="s">
        <v>2495</v>
      </c>
    </row>
    <row r="651" spans="4:4" x14ac:dyDescent="0.25">
      <c r="D651" t="s">
        <v>2496</v>
      </c>
    </row>
    <row r="652" spans="4:4" x14ac:dyDescent="0.25">
      <c r="D652" t="s">
        <v>2497</v>
      </c>
    </row>
    <row r="653" spans="4:4" x14ac:dyDescent="0.25">
      <c r="D653" t="s">
        <v>2498</v>
      </c>
    </row>
    <row r="654" spans="4:4" x14ac:dyDescent="0.25">
      <c r="D654" t="s">
        <v>2499</v>
      </c>
    </row>
    <row r="655" spans="4:4" x14ac:dyDescent="0.25">
      <c r="D655" t="s">
        <v>2500</v>
      </c>
    </row>
    <row r="656" spans="4:4" x14ac:dyDescent="0.25">
      <c r="D656" t="s">
        <v>2501</v>
      </c>
    </row>
    <row r="657" spans="4:4" x14ac:dyDescent="0.25">
      <c r="D657" t="s">
        <v>2502</v>
      </c>
    </row>
    <row r="658" spans="4:4" x14ac:dyDescent="0.25">
      <c r="D658" t="s">
        <v>2503</v>
      </c>
    </row>
    <row r="659" spans="4:4" x14ac:dyDescent="0.25">
      <c r="D659" t="s">
        <v>2504</v>
      </c>
    </row>
    <row r="660" spans="4:4" x14ac:dyDescent="0.25">
      <c r="D660" t="s">
        <v>2505</v>
      </c>
    </row>
    <row r="661" spans="4:4" x14ac:dyDescent="0.25">
      <c r="D661" t="s">
        <v>2506</v>
      </c>
    </row>
    <row r="662" spans="4:4" x14ac:dyDescent="0.25">
      <c r="D662" t="s">
        <v>2507</v>
      </c>
    </row>
    <row r="663" spans="4:4" x14ac:dyDescent="0.25">
      <c r="D663" t="s">
        <v>2508</v>
      </c>
    </row>
    <row r="664" spans="4:4" x14ac:dyDescent="0.25">
      <c r="D664" t="s">
        <v>2509</v>
      </c>
    </row>
    <row r="665" spans="4:4" x14ac:dyDescent="0.25">
      <c r="D665" t="s">
        <v>2510</v>
      </c>
    </row>
    <row r="666" spans="4:4" x14ac:dyDescent="0.25">
      <c r="D666" t="s">
        <v>2511</v>
      </c>
    </row>
    <row r="667" spans="4:4" x14ac:dyDescent="0.25">
      <c r="D667" t="s">
        <v>2512</v>
      </c>
    </row>
    <row r="668" spans="4:4" x14ac:dyDescent="0.25">
      <c r="D668" t="s">
        <v>2513</v>
      </c>
    </row>
    <row r="669" spans="4:4" x14ac:dyDescent="0.25">
      <c r="D669" t="s">
        <v>2514</v>
      </c>
    </row>
    <row r="670" spans="4:4" x14ac:dyDescent="0.25">
      <c r="D670" t="s">
        <v>2515</v>
      </c>
    </row>
    <row r="671" spans="4:4" x14ac:dyDescent="0.25">
      <c r="D671" t="s">
        <v>2516</v>
      </c>
    </row>
    <row r="672" spans="4:4" x14ac:dyDescent="0.25">
      <c r="D672" t="s">
        <v>2517</v>
      </c>
    </row>
    <row r="673" spans="4:4" x14ac:dyDescent="0.25">
      <c r="D673" t="s">
        <v>2518</v>
      </c>
    </row>
    <row r="674" spans="4:4" x14ac:dyDescent="0.25">
      <c r="D674" t="s">
        <v>2519</v>
      </c>
    </row>
    <row r="675" spans="4:4" x14ac:dyDescent="0.25">
      <c r="D675" t="s">
        <v>2520</v>
      </c>
    </row>
    <row r="676" spans="4:4" x14ac:dyDescent="0.25">
      <c r="D676" t="s">
        <v>2521</v>
      </c>
    </row>
    <row r="677" spans="4:4" x14ac:dyDescent="0.25">
      <c r="D677" t="s">
        <v>2522</v>
      </c>
    </row>
    <row r="678" spans="4:4" x14ac:dyDescent="0.25">
      <c r="D678" t="s">
        <v>2523</v>
      </c>
    </row>
    <row r="679" spans="4:4" x14ac:dyDescent="0.25">
      <c r="D679" t="s">
        <v>2524</v>
      </c>
    </row>
    <row r="680" spans="4:4" x14ac:dyDescent="0.25">
      <c r="D680" t="s">
        <v>2525</v>
      </c>
    </row>
    <row r="681" spans="4:4" x14ac:dyDescent="0.25">
      <c r="D681" t="s">
        <v>2526</v>
      </c>
    </row>
    <row r="682" spans="4:4" x14ac:dyDescent="0.25">
      <c r="D682" t="s">
        <v>2527</v>
      </c>
    </row>
    <row r="683" spans="4:4" x14ac:dyDescent="0.25">
      <c r="D683" t="s">
        <v>2528</v>
      </c>
    </row>
    <row r="684" spans="4:4" x14ac:dyDescent="0.25">
      <c r="D684" t="s">
        <v>2529</v>
      </c>
    </row>
    <row r="685" spans="4:4" x14ac:dyDescent="0.25">
      <c r="D685" t="s">
        <v>2530</v>
      </c>
    </row>
    <row r="686" spans="4:4" x14ac:dyDescent="0.25">
      <c r="D686" t="s">
        <v>2531</v>
      </c>
    </row>
    <row r="687" spans="4:4" x14ac:dyDescent="0.25">
      <c r="D687" t="s">
        <v>2532</v>
      </c>
    </row>
    <row r="688" spans="4:4" x14ac:dyDescent="0.25">
      <c r="D688" t="s">
        <v>2533</v>
      </c>
    </row>
    <row r="689" spans="4:4" x14ac:dyDescent="0.25">
      <c r="D689" t="s">
        <v>2534</v>
      </c>
    </row>
    <row r="690" spans="4:4" x14ac:dyDescent="0.25">
      <c r="D690" t="s">
        <v>2535</v>
      </c>
    </row>
    <row r="691" spans="4:4" x14ac:dyDescent="0.25">
      <c r="D691" t="s">
        <v>2536</v>
      </c>
    </row>
    <row r="692" spans="4:4" x14ac:dyDescent="0.25">
      <c r="D692" t="s">
        <v>2537</v>
      </c>
    </row>
    <row r="693" spans="4:4" x14ac:dyDescent="0.25">
      <c r="D693" t="s">
        <v>2538</v>
      </c>
    </row>
    <row r="694" spans="4:4" x14ac:dyDescent="0.25">
      <c r="D694" t="s">
        <v>2539</v>
      </c>
    </row>
    <row r="695" spans="4:4" x14ac:dyDescent="0.25">
      <c r="D695" t="s">
        <v>2540</v>
      </c>
    </row>
    <row r="696" spans="4:4" x14ac:dyDescent="0.25">
      <c r="D696" t="s">
        <v>2541</v>
      </c>
    </row>
    <row r="697" spans="4:4" x14ac:dyDescent="0.25">
      <c r="D697" t="s">
        <v>2542</v>
      </c>
    </row>
    <row r="698" spans="4:4" x14ac:dyDescent="0.25">
      <c r="D698" t="s">
        <v>2543</v>
      </c>
    </row>
    <row r="699" spans="4:4" x14ac:dyDescent="0.25">
      <c r="D699" t="s">
        <v>2544</v>
      </c>
    </row>
    <row r="700" spans="4:4" x14ac:dyDescent="0.25">
      <c r="D700" t="s">
        <v>2545</v>
      </c>
    </row>
    <row r="701" spans="4:4" x14ac:dyDescent="0.25">
      <c r="D701" t="s">
        <v>2546</v>
      </c>
    </row>
    <row r="702" spans="4:4" x14ac:dyDescent="0.25">
      <c r="D702" t="s">
        <v>2547</v>
      </c>
    </row>
    <row r="703" spans="4:4" x14ac:dyDescent="0.25">
      <c r="D703" t="s">
        <v>2548</v>
      </c>
    </row>
    <row r="704" spans="4:4" x14ac:dyDescent="0.25">
      <c r="D704" t="s">
        <v>2549</v>
      </c>
    </row>
    <row r="705" spans="4:4" x14ac:dyDescent="0.25">
      <c r="D705" t="s">
        <v>2550</v>
      </c>
    </row>
    <row r="706" spans="4:4" x14ac:dyDescent="0.25">
      <c r="D706" t="s">
        <v>2551</v>
      </c>
    </row>
    <row r="707" spans="4:4" x14ac:dyDescent="0.25">
      <c r="D707" t="s">
        <v>2552</v>
      </c>
    </row>
    <row r="708" spans="4:4" x14ac:dyDescent="0.25">
      <c r="D708" t="s">
        <v>2553</v>
      </c>
    </row>
    <row r="709" spans="4:4" x14ac:dyDescent="0.25">
      <c r="D709" t="s">
        <v>2554</v>
      </c>
    </row>
    <row r="710" spans="4:4" x14ac:dyDescent="0.25">
      <c r="D710" t="s">
        <v>2555</v>
      </c>
    </row>
    <row r="711" spans="4:4" x14ac:dyDescent="0.25">
      <c r="D711" t="s">
        <v>2556</v>
      </c>
    </row>
    <row r="712" spans="4:4" x14ac:dyDescent="0.25">
      <c r="D712" t="s">
        <v>2557</v>
      </c>
    </row>
    <row r="713" spans="4:4" x14ac:dyDescent="0.25">
      <c r="D713" t="s">
        <v>2558</v>
      </c>
    </row>
    <row r="714" spans="4:4" x14ac:dyDescent="0.25">
      <c r="D714" t="s">
        <v>2559</v>
      </c>
    </row>
    <row r="715" spans="4:4" x14ac:dyDescent="0.25">
      <c r="D715" t="s">
        <v>2560</v>
      </c>
    </row>
    <row r="716" spans="4:4" x14ac:dyDescent="0.25">
      <c r="D716" t="s">
        <v>2561</v>
      </c>
    </row>
    <row r="717" spans="4:4" x14ac:dyDescent="0.25">
      <c r="D717" t="s">
        <v>2562</v>
      </c>
    </row>
    <row r="718" spans="4:4" x14ac:dyDescent="0.25">
      <c r="D718" t="s">
        <v>2563</v>
      </c>
    </row>
    <row r="719" spans="4:4" x14ac:dyDescent="0.25">
      <c r="D719" t="s">
        <v>2564</v>
      </c>
    </row>
    <row r="720" spans="4:4" x14ac:dyDescent="0.25">
      <c r="D720" t="s">
        <v>2565</v>
      </c>
    </row>
    <row r="721" spans="4:4" x14ac:dyDescent="0.25">
      <c r="D721" t="s">
        <v>2566</v>
      </c>
    </row>
    <row r="722" spans="4:4" x14ac:dyDescent="0.25">
      <c r="D722" t="s">
        <v>2567</v>
      </c>
    </row>
    <row r="723" spans="4:4" x14ac:dyDescent="0.25">
      <c r="D723" t="s">
        <v>2568</v>
      </c>
    </row>
    <row r="724" spans="4:4" x14ac:dyDescent="0.25">
      <c r="D724" t="s">
        <v>2569</v>
      </c>
    </row>
    <row r="725" spans="4:4" x14ac:dyDescent="0.25">
      <c r="D725" t="s">
        <v>2570</v>
      </c>
    </row>
    <row r="726" spans="4:4" x14ac:dyDescent="0.25">
      <c r="D726" t="s">
        <v>2571</v>
      </c>
    </row>
    <row r="727" spans="4:4" x14ac:dyDescent="0.25">
      <c r="D727" t="s">
        <v>2572</v>
      </c>
    </row>
    <row r="728" spans="4:4" x14ac:dyDescent="0.25">
      <c r="D728" t="s">
        <v>2573</v>
      </c>
    </row>
    <row r="729" spans="4:4" x14ac:dyDescent="0.25">
      <c r="D729" t="s">
        <v>2574</v>
      </c>
    </row>
    <row r="730" spans="4:4" x14ac:dyDescent="0.25">
      <c r="D730" t="s">
        <v>2575</v>
      </c>
    </row>
    <row r="731" spans="4:4" x14ac:dyDescent="0.25">
      <c r="D731" t="s">
        <v>2576</v>
      </c>
    </row>
    <row r="732" spans="4:4" x14ac:dyDescent="0.25">
      <c r="D732" t="s">
        <v>2577</v>
      </c>
    </row>
    <row r="733" spans="4:4" x14ac:dyDescent="0.25">
      <c r="D733" t="s">
        <v>2578</v>
      </c>
    </row>
    <row r="734" spans="4:4" x14ac:dyDescent="0.25">
      <c r="D734" t="s">
        <v>2579</v>
      </c>
    </row>
    <row r="735" spans="4:4" x14ac:dyDescent="0.25">
      <c r="D735" t="s">
        <v>2580</v>
      </c>
    </row>
    <row r="736" spans="4:4" x14ac:dyDescent="0.25">
      <c r="D736" t="s">
        <v>2581</v>
      </c>
    </row>
    <row r="737" spans="4:4" x14ac:dyDescent="0.25">
      <c r="D737" t="s">
        <v>2582</v>
      </c>
    </row>
    <row r="738" spans="4:4" x14ac:dyDescent="0.25">
      <c r="D738" t="s">
        <v>2583</v>
      </c>
    </row>
    <row r="739" spans="4:4" x14ac:dyDescent="0.25">
      <c r="D739" t="s">
        <v>2584</v>
      </c>
    </row>
    <row r="740" spans="4:4" x14ac:dyDescent="0.25">
      <c r="D740" t="s">
        <v>2585</v>
      </c>
    </row>
    <row r="741" spans="4:4" x14ac:dyDescent="0.25">
      <c r="D741" t="s">
        <v>2586</v>
      </c>
    </row>
    <row r="742" spans="4:4" x14ac:dyDescent="0.25">
      <c r="D742" t="s">
        <v>2587</v>
      </c>
    </row>
    <row r="743" spans="4:4" x14ac:dyDescent="0.25">
      <c r="D743" t="s">
        <v>2588</v>
      </c>
    </row>
    <row r="744" spans="4:4" x14ac:dyDescent="0.25">
      <c r="D744" t="s">
        <v>2589</v>
      </c>
    </row>
    <row r="745" spans="4:4" x14ac:dyDescent="0.25">
      <c r="D745" t="s">
        <v>2590</v>
      </c>
    </row>
    <row r="746" spans="4:4" x14ac:dyDescent="0.25">
      <c r="D746" t="s">
        <v>2591</v>
      </c>
    </row>
    <row r="747" spans="4:4" x14ac:dyDescent="0.25">
      <c r="D747" t="s">
        <v>2592</v>
      </c>
    </row>
    <row r="748" spans="4:4" x14ac:dyDescent="0.25">
      <c r="D748" t="s">
        <v>2593</v>
      </c>
    </row>
    <row r="749" spans="4:4" x14ac:dyDescent="0.25">
      <c r="D749" t="s">
        <v>2594</v>
      </c>
    </row>
    <row r="750" spans="4:4" x14ac:dyDescent="0.25">
      <c r="D750" t="s">
        <v>2595</v>
      </c>
    </row>
    <row r="751" spans="4:4" x14ac:dyDescent="0.25">
      <c r="D751" t="s">
        <v>2596</v>
      </c>
    </row>
    <row r="752" spans="4:4" x14ac:dyDescent="0.25">
      <c r="D752" t="s">
        <v>2597</v>
      </c>
    </row>
    <row r="753" spans="4:4" x14ac:dyDescent="0.25">
      <c r="D753" t="s">
        <v>2598</v>
      </c>
    </row>
    <row r="754" spans="4:4" x14ac:dyDescent="0.25">
      <c r="D754" t="s">
        <v>2599</v>
      </c>
    </row>
    <row r="755" spans="4:4" x14ac:dyDescent="0.25">
      <c r="D755" t="s">
        <v>2600</v>
      </c>
    </row>
    <row r="756" spans="4:4" x14ac:dyDescent="0.25">
      <c r="D756" t="s">
        <v>2601</v>
      </c>
    </row>
    <row r="757" spans="4:4" x14ac:dyDescent="0.25">
      <c r="D757" t="s">
        <v>2602</v>
      </c>
    </row>
    <row r="758" spans="4:4" x14ac:dyDescent="0.25">
      <c r="D758" t="s">
        <v>2603</v>
      </c>
    </row>
    <row r="759" spans="4:4" x14ac:dyDescent="0.25">
      <c r="D759" t="s">
        <v>2604</v>
      </c>
    </row>
    <row r="760" spans="4:4" x14ac:dyDescent="0.25">
      <c r="D760" t="s">
        <v>2605</v>
      </c>
    </row>
    <row r="761" spans="4:4" x14ac:dyDescent="0.25">
      <c r="D761" t="s">
        <v>2606</v>
      </c>
    </row>
    <row r="762" spans="4:4" x14ac:dyDescent="0.25">
      <c r="D762" t="s">
        <v>2607</v>
      </c>
    </row>
    <row r="763" spans="4:4" x14ac:dyDescent="0.25">
      <c r="D763" t="s">
        <v>2608</v>
      </c>
    </row>
    <row r="764" spans="4:4" x14ac:dyDescent="0.25">
      <c r="D764" t="s">
        <v>2609</v>
      </c>
    </row>
    <row r="765" spans="4:4" x14ac:dyDescent="0.25">
      <c r="D765" t="s">
        <v>2610</v>
      </c>
    </row>
    <row r="766" spans="4:4" x14ac:dyDescent="0.25">
      <c r="D766" t="s">
        <v>2611</v>
      </c>
    </row>
    <row r="767" spans="4:4" x14ac:dyDescent="0.25">
      <c r="D767" t="s">
        <v>2612</v>
      </c>
    </row>
    <row r="768" spans="4:4" x14ac:dyDescent="0.25">
      <c r="D768" t="s">
        <v>2613</v>
      </c>
    </row>
    <row r="769" spans="4:4" x14ac:dyDescent="0.25">
      <c r="D769" t="s">
        <v>2614</v>
      </c>
    </row>
    <row r="770" spans="4:4" x14ac:dyDescent="0.25">
      <c r="D770" t="s">
        <v>2615</v>
      </c>
    </row>
    <row r="771" spans="4:4" x14ac:dyDescent="0.25">
      <c r="D771" t="s">
        <v>2616</v>
      </c>
    </row>
    <row r="772" spans="4:4" x14ac:dyDescent="0.25">
      <c r="D772" t="s">
        <v>2617</v>
      </c>
    </row>
    <row r="773" spans="4:4" x14ac:dyDescent="0.25">
      <c r="D773" t="s">
        <v>2618</v>
      </c>
    </row>
    <row r="774" spans="4:4" x14ac:dyDescent="0.25">
      <c r="D774" t="s">
        <v>2619</v>
      </c>
    </row>
    <row r="775" spans="4:4" x14ac:dyDescent="0.25">
      <c r="D775" t="s">
        <v>2620</v>
      </c>
    </row>
    <row r="776" spans="4:4" x14ac:dyDescent="0.25">
      <c r="D776" t="s">
        <v>2621</v>
      </c>
    </row>
    <row r="777" spans="4:4" x14ac:dyDescent="0.25">
      <c r="D777" t="s">
        <v>2622</v>
      </c>
    </row>
    <row r="778" spans="4:4" x14ac:dyDescent="0.25">
      <c r="D778" t="s">
        <v>2623</v>
      </c>
    </row>
    <row r="779" spans="4:4" x14ac:dyDescent="0.25">
      <c r="D779" t="s">
        <v>2624</v>
      </c>
    </row>
    <row r="780" spans="4:4" x14ac:dyDescent="0.25">
      <c r="D780" t="s">
        <v>2625</v>
      </c>
    </row>
    <row r="781" spans="4:4" x14ac:dyDescent="0.25">
      <c r="D781" t="s">
        <v>2626</v>
      </c>
    </row>
    <row r="782" spans="4:4" x14ac:dyDescent="0.25">
      <c r="D782" t="s">
        <v>2627</v>
      </c>
    </row>
    <row r="783" spans="4:4" x14ac:dyDescent="0.25">
      <c r="D783" t="s">
        <v>2628</v>
      </c>
    </row>
    <row r="784" spans="4:4" x14ac:dyDescent="0.25">
      <c r="D784" t="s">
        <v>2629</v>
      </c>
    </row>
    <row r="785" spans="4:4" x14ac:dyDescent="0.25">
      <c r="D785" t="s">
        <v>2630</v>
      </c>
    </row>
    <row r="786" spans="4:4" x14ac:dyDescent="0.25">
      <c r="D786" t="s">
        <v>2631</v>
      </c>
    </row>
    <row r="787" spans="4:4" x14ac:dyDescent="0.25">
      <c r="D787" t="s">
        <v>2632</v>
      </c>
    </row>
    <row r="788" spans="4:4" x14ac:dyDescent="0.25">
      <c r="D788" t="s">
        <v>2633</v>
      </c>
    </row>
    <row r="789" spans="4:4" x14ac:dyDescent="0.25">
      <c r="D789" t="s">
        <v>2634</v>
      </c>
    </row>
    <row r="790" spans="4:4" x14ac:dyDescent="0.25">
      <c r="D790" t="s">
        <v>2635</v>
      </c>
    </row>
    <row r="791" spans="4:4" x14ac:dyDescent="0.25">
      <c r="D791" t="s">
        <v>2636</v>
      </c>
    </row>
    <row r="792" spans="4:4" x14ac:dyDescent="0.25">
      <c r="D792" t="s">
        <v>2637</v>
      </c>
    </row>
    <row r="793" spans="4:4" x14ac:dyDescent="0.25">
      <c r="D793" t="s">
        <v>2638</v>
      </c>
    </row>
    <row r="794" spans="4:4" x14ac:dyDescent="0.25">
      <c r="D794" t="s">
        <v>2639</v>
      </c>
    </row>
    <row r="795" spans="4:4" x14ac:dyDescent="0.25">
      <c r="D795" t="s">
        <v>2640</v>
      </c>
    </row>
    <row r="796" spans="4:4" x14ac:dyDescent="0.25">
      <c r="D796" t="s">
        <v>2641</v>
      </c>
    </row>
    <row r="797" spans="4:4" x14ac:dyDescent="0.25">
      <c r="D797" t="s">
        <v>2642</v>
      </c>
    </row>
    <row r="798" spans="4:4" x14ac:dyDescent="0.25">
      <c r="D798" t="s">
        <v>2643</v>
      </c>
    </row>
    <row r="799" spans="4:4" x14ac:dyDescent="0.25">
      <c r="D799" t="s">
        <v>2644</v>
      </c>
    </row>
    <row r="800" spans="4:4" x14ac:dyDescent="0.25">
      <c r="D800" t="s">
        <v>2645</v>
      </c>
    </row>
    <row r="801" spans="4:4" x14ac:dyDescent="0.25">
      <c r="D801" t="s">
        <v>2646</v>
      </c>
    </row>
    <row r="802" spans="4:4" x14ac:dyDescent="0.25">
      <c r="D802" t="s">
        <v>2647</v>
      </c>
    </row>
    <row r="803" spans="4:4" x14ac:dyDescent="0.25">
      <c r="D803" t="s">
        <v>2648</v>
      </c>
    </row>
    <row r="804" spans="4:4" x14ac:dyDescent="0.25">
      <c r="D804" t="s">
        <v>2649</v>
      </c>
    </row>
    <row r="805" spans="4:4" x14ac:dyDescent="0.25">
      <c r="D805" t="s">
        <v>2650</v>
      </c>
    </row>
    <row r="806" spans="4:4" x14ac:dyDescent="0.25">
      <c r="D806" t="s">
        <v>2651</v>
      </c>
    </row>
    <row r="807" spans="4:4" x14ac:dyDescent="0.25">
      <c r="D807" t="s">
        <v>2652</v>
      </c>
    </row>
    <row r="808" spans="4:4" x14ac:dyDescent="0.25">
      <c r="D808" t="s">
        <v>2653</v>
      </c>
    </row>
    <row r="809" spans="4:4" x14ac:dyDescent="0.25">
      <c r="D809" t="s">
        <v>2654</v>
      </c>
    </row>
    <row r="810" spans="4:4" x14ac:dyDescent="0.25">
      <c r="D810" t="s">
        <v>2655</v>
      </c>
    </row>
    <row r="811" spans="4:4" x14ac:dyDescent="0.25">
      <c r="D811" t="s">
        <v>2656</v>
      </c>
    </row>
    <row r="812" spans="4:4" x14ac:dyDescent="0.25">
      <c r="D812" t="s">
        <v>2657</v>
      </c>
    </row>
    <row r="813" spans="4:4" x14ac:dyDescent="0.25">
      <c r="D813" t="s">
        <v>2658</v>
      </c>
    </row>
    <row r="814" spans="4:4" x14ac:dyDescent="0.25">
      <c r="D814" t="s">
        <v>2659</v>
      </c>
    </row>
    <row r="815" spans="4:4" x14ac:dyDescent="0.25">
      <c r="D815" t="s">
        <v>2660</v>
      </c>
    </row>
    <row r="816" spans="4:4" x14ac:dyDescent="0.25">
      <c r="D816" t="s">
        <v>2661</v>
      </c>
    </row>
    <row r="817" spans="4:4" x14ac:dyDescent="0.25">
      <c r="D817" t="s">
        <v>2662</v>
      </c>
    </row>
    <row r="818" spans="4:4" x14ac:dyDescent="0.25">
      <c r="D818" t="s">
        <v>2663</v>
      </c>
    </row>
    <row r="819" spans="4:4" x14ac:dyDescent="0.25">
      <c r="D819" t="s">
        <v>2664</v>
      </c>
    </row>
    <row r="820" spans="4:4" x14ac:dyDescent="0.25">
      <c r="D820" t="s">
        <v>2665</v>
      </c>
    </row>
    <row r="821" spans="4:4" x14ac:dyDescent="0.25">
      <c r="D821" t="s">
        <v>2666</v>
      </c>
    </row>
    <row r="822" spans="4:4" x14ac:dyDescent="0.25">
      <c r="D822" t="s">
        <v>2667</v>
      </c>
    </row>
    <row r="823" spans="4:4" x14ac:dyDescent="0.25">
      <c r="D823" t="s">
        <v>2668</v>
      </c>
    </row>
    <row r="824" spans="4:4" x14ac:dyDescent="0.25">
      <c r="D824" t="s">
        <v>2669</v>
      </c>
    </row>
    <row r="825" spans="4:4" x14ac:dyDescent="0.25">
      <c r="D825" t="s">
        <v>2670</v>
      </c>
    </row>
    <row r="826" spans="4:4" x14ac:dyDescent="0.25">
      <c r="D826" t="s">
        <v>2671</v>
      </c>
    </row>
    <row r="827" spans="4:4" x14ac:dyDescent="0.25">
      <c r="D827" t="s">
        <v>2672</v>
      </c>
    </row>
    <row r="828" spans="4:4" x14ac:dyDescent="0.25">
      <c r="D828" t="s">
        <v>2673</v>
      </c>
    </row>
    <row r="829" spans="4:4" x14ac:dyDescent="0.25">
      <c r="D829" t="s">
        <v>2674</v>
      </c>
    </row>
    <row r="830" spans="4:4" x14ac:dyDescent="0.25">
      <c r="D830" t="s">
        <v>2675</v>
      </c>
    </row>
    <row r="831" spans="4:4" x14ac:dyDescent="0.25">
      <c r="D831" t="s">
        <v>2676</v>
      </c>
    </row>
    <row r="832" spans="4:4" x14ac:dyDescent="0.25">
      <c r="D832" t="s">
        <v>2677</v>
      </c>
    </row>
    <row r="833" spans="4:4" x14ac:dyDescent="0.25">
      <c r="D833" t="s">
        <v>2678</v>
      </c>
    </row>
    <row r="834" spans="4:4" x14ac:dyDescent="0.25">
      <c r="D834" t="s">
        <v>2679</v>
      </c>
    </row>
    <row r="835" spans="4:4" x14ac:dyDescent="0.25">
      <c r="D835" t="s">
        <v>2680</v>
      </c>
    </row>
    <row r="836" spans="4:4" x14ac:dyDescent="0.25">
      <c r="D836" t="s">
        <v>2681</v>
      </c>
    </row>
    <row r="837" spans="4:4" x14ac:dyDescent="0.25">
      <c r="D837" t="s">
        <v>2682</v>
      </c>
    </row>
    <row r="838" spans="4:4" x14ac:dyDescent="0.25">
      <c r="D838" t="s">
        <v>2683</v>
      </c>
    </row>
    <row r="839" spans="4:4" x14ac:dyDescent="0.25">
      <c r="D839" t="s">
        <v>2684</v>
      </c>
    </row>
    <row r="840" spans="4:4" x14ac:dyDescent="0.25">
      <c r="D840" t="s">
        <v>2685</v>
      </c>
    </row>
    <row r="841" spans="4:4" x14ac:dyDescent="0.25">
      <c r="D841" t="s">
        <v>2686</v>
      </c>
    </row>
    <row r="842" spans="4:4" x14ac:dyDescent="0.25">
      <c r="D842" t="s">
        <v>2687</v>
      </c>
    </row>
    <row r="843" spans="4:4" x14ac:dyDescent="0.25">
      <c r="D843" t="s">
        <v>2688</v>
      </c>
    </row>
    <row r="844" spans="4:4" x14ac:dyDescent="0.25">
      <c r="D844" t="s">
        <v>2689</v>
      </c>
    </row>
    <row r="845" spans="4:4" x14ac:dyDescent="0.25">
      <c r="D845" t="s">
        <v>2690</v>
      </c>
    </row>
    <row r="846" spans="4:4" x14ac:dyDescent="0.25">
      <c r="D846" t="s">
        <v>2691</v>
      </c>
    </row>
    <row r="847" spans="4:4" x14ac:dyDescent="0.25">
      <c r="D847" t="s">
        <v>2692</v>
      </c>
    </row>
    <row r="848" spans="4:4" x14ac:dyDescent="0.25">
      <c r="D848" t="s">
        <v>2693</v>
      </c>
    </row>
    <row r="849" spans="4:4" x14ac:dyDescent="0.25">
      <c r="D849" t="s">
        <v>2694</v>
      </c>
    </row>
    <row r="850" spans="4:4" x14ac:dyDescent="0.25">
      <c r="D850" t="s">
        <v>2695</v>
      </c>
    </row>
    <row r="851" spans="4:4" x14ac:dyDescent="0.25">
      <c r="D851" t="s">
        <v>2696</v>
      </c>
    </row>
    <row r="852" spans="4:4" x14ac:dyDescent="0.25">
      <c r="D852" t="s">
        <v>2697</v>
      </c>
    </row>
    <row r="853" spans="4:4" x14ac:dyDescent="0.25">
      <c r="D853" t="s">
        <v>2698</v>
      </c>
    </row>
    <row r="854" spans="4:4" x14ac:dyDescent="0.25">
      <c r="D854" t="s">
        <v>2699</v>
      </c>
    </row>
    <row r="855" spans="4:4" x14ac:dyDescent="0.25">
      <c r="D855" t="s">
        <v>2700</v>
      </c>
    </row>
    <row r="856" spans="4:4" x14ac:dyDescent="0.25">
      <c r="D856" t="s">
        <v>2701</v>
      </c>
    </row>
    <row r="857" spans="4:4" x14ac:dyDescent="0.25">
      <c r="D857" t="s">
        <v>2702</v>
      </c>
    </row>
    <row r="858" spans="4:4" x14ac:dyDescent="0.25">
      <c r="D858" t="s">
        <v>2703</v>
      </c>
    </row>
    <row r="859" spans="4:4" x14ac:dyDescent="0.25">
      <c r="D859" t="s">
        <v>2704</v>
      </c>
    </row>
    <row r="860" spans="4:4" x14ac:dyDescent="0.25">
      <c r="D860" t="s">
        <v>2705</v>
      </c>
    </row>
    <row r="861" spans="4:4" x14ac:dyDescent="0.25">
      <c r="D861" t="s">
        <v>2706</v>
      </c>
    </row>
    <row r="862" spans="4:4" x14ac:dyDescent="0.25">
      <c r="D862" t="s">
        <v>2707</v>
      </c>
    </row>
    <row r="863" spans="4:4" x14ac:dyDescent="0.25">
      <c r="D863" t="s">
        <v>2708</v>
      </c>
    </row>
    <row r="864" spans="4:4" x14ac:dyDescent="0.25">
      <c r="D864" t="s">
        <v>2709</v>
      </c>
    </row>
    <row r="865" spans="4:4" x14ac:dyDescent="0.25">
      <c r="D865" t="s">
        <v>2710</v>
      </c>
    </row>
    <row r="866" spans="4:4" x14ac:dyDescent="0.25">
      <c r="D866" t="s">
        <v>2711</v>
      </c>
    </row>
    <row r="867" spans="4:4" x14ac:dyDescent="0.25">
      <c r="D867" t="s">
        <v>2712</v>
      </c>
    </row>
    <row r="868" spans="4:4" x14ac:dyDescent="0.25">
      <c r="D868" t="s">
        <v>2713</v>
      </c>
    </row>
    <row r="869" spans="4:4" x14ac:dyDescent="0.25">
      <c r="D869" t="s">
        <v>2714</v>
      </c>
    </row>
    <row r="870" spans="4:4" x14ac:dyDescent="0.25">
      <c r="D870" t="s">
        <v>2715</v>
      </c>
    </row>
    <row r="871" spans="4:4" x14ac:dyDescent="0.25">
      <c r="D871" t="s">
        <v>2716</v>
      </c>
    </row>
    <row r="872" spans="4:4" x14ac:dyDescent="0.25">
      <c r="D872" t="s">
        <v>2717</v>
      </c>
    </row>
  </sheetData>
  <pageMargins left="0.75" right="0.75" top="1" bottom="1" header="0.5" footer="0.5"/>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08"/>
  <sheetViews>
    <sheetView workbookViewId="0"/>
  </sheetViews>
  <sheetFormatPr defaultColWidth="9" defaultRowHeight="15" x14ac:dyDescent="0.25"/>
  <sheetData>
    <row r="1" spans="1:2" x14ac:dyDescent="0.25">
      <c r="A1" t="s">
        <v>966</v>
      </c>
      <c r="B1" t="s">
        <v>1225</v>
      </c>
    </row>
    <row r="2" spans="1:2" x14ac:dyDescent="0.25">
      <c r="A2" t="s">
        <v>1096</v>
      </c>
      <c r="B2">
        <v>1</v>
      </c>
    </row>
    <row r="3" spans="1:2" x14ac:dyDescent="0.25">
      <c r="A3" t="s">
        <v>1187</v>
      </c>
      <c r="B3">
        <v>1</v>
      </c>
    </row>
    <row r="4" spans="1:2" x14ac:dyDescent="0.25">
      <c r="A4" t="s">
        <v>1175</v>
      </c>
      <c r="B4">
        <v>1</v>
      </c>
    </row>
    <row r="5" spans="1:2" x14ac:dyDescent="0.25">
      <c r="A5" t="s">
        <v>1199</v>
      </c>
      <c r="B5">
        <v>1</v>
      </c>
    </row>
    <row r="6" spans="1:2" x14ac:dyDescent="0.25">
      <c r="A6" t="s">
        <v>1232</v>
      </c>
      <c r="B6">
        <v>1</v>
      </c>
    </row>
    <row r="7" spans="1:2" x14ac:dyDescent="0.25">
      <c r="A7" t="s">
        <v>912</v>
      </c>
      <c r="B7">
        <v>1</v>
      </c>
    </row>
    <row r="8" spans="1:2" x14ac:dyDescent="0.25">
      <c r="A8" t="s">
        <v>1101</v>
      </c>
      <c r="B8">
        <v>1</v>
      </c>
    </row>
    <row r="9" spans="1:2" x14ac:dyDescent="0.25">
      <c r="A9" t="s">
        <v>1111</v>
      </c>
      <c r="B9">
        <v>1</v>
      </c>
    </row>
    <row r="10" spans="1:2" x14ac:dyDescent="0.25">
      <c r="A10" t="s">
        <v>1092</v>
      </c>
      <c r="B10">
        <v>1</v>
      </c>
    </row>
    <row r="11" spans="1:2" x14ac:dyDescent="0.25">
      <c r="A11" t="s">
        <v>1099</v>
      </c>
      <c r="B11">
        <v>1</v>
      </c>
    </row>
    <row r="12" spans="1:2" x14ac:dyDescent="0.25">
      <c r="A12" t="s">
        <v>2718</v>
      </c>
      <c r="B12">
        <v>1</v>
      </c>
    </row>
    <row r="13" spans="1:2" x14ac:dyDescent="0.25">
      <c r="A13" t="s">
        <v>938</v>
      </c>
      <c r="B13">
        <v>1</v>
      </c>
    </row>
    <row r="14" spans="1:2" x14ac:dyDescent="0.25">
      <c r="A14" t="s">
        <v>2719</v>
      </c>
      <c r="B14">
        <v>1</v>
      </c>
    </row>
    <row r="15" spans="1:2" x14ac:dyDescent="0.25">
      <c r="A15" t="s">
        <v>2720</v>
      </c>
      <c r="B15">
        <v>1</v>
      </c>
    </row>
    <row r="16" spans="1:2" x14ac:dyDescent="0.25">
      <c r="A16" t="s">
        <v>1113</v>
      </c>
      <c r="B16">
        <v>1</v>
      </c>
    </row>
    <row r="17" spans="1:2" x14ac:dyDescent="0.25">
      <c r="A17" t="s">
        <v>1105</v>
      </c>
      <c r="B17">
        <v>1</v>
      </c>
    </row>
    <row r="18" spans="1:2" x14ac:dyDescent="0.25">
      <c r="A18" t="s">
        <v>1103</v>
      </c>
      <c r="B18">
        <v>1</v>
      </c>
    </row>
    <row r="19" spans="1:2" x14ac:dyDescent="0.25">
      <c r="A19" t="s">
        <v>2721</v>
      </c>
      <c r="B19">
        <v>1</v>
      </c>
    </row>
    <row r="20" spans="1:2" x14ac:dyDescent="0.25">
      <c r="A20" t="s">
        <v>926</v>
      </c>
      <c r="B20">
        <v>1</v>
      </c>
    </row>
    <row r="21" spans="1:2" x14ac:dyDescent="0.25">
      <c r="A21" t="s">
        <v>1233</v>
      </c>
      <c r="B21">
        <v>1</v>
      </c>
    </row>
    <row r="22" spans="1:2" x14ac:dyDescent="0.25">
      <c r="A22" t="s">
        <v>1107</v>
      </c>
      <c r="B22">
        <v>1</v>
      </c>
    </row>
    <row r="23" spans="1:2" x14ac:dyDescent="0.25">
      <c r="A23" t="s">
        <v>2722</v>
      </c>
      <c r="B23">
        <v>1</v>
      </c>
    </row>
    <row r="24" spans="1:2" x14ac:dyDescent="0.25">
      <c r="A24" t="s">
        <v>1088</v>
      </c>
      <c r="B24">
        <v>1</v>
      </c>
    </row>
    <row r="25" spans="1:2" x14ac:dyDescent="0.25">
      <c r="A25" t="s">
        <v>1115</v>
      </c>
      <c r="B25">
        <v>1</v>
      </c>
    </row>
    <row r="26" spans="1:2" x14ac:dyDescent="0.25">
      <c r="A26" t="s">
        <v>2723</v>
      </c>
      <c r="B26">
        <v>1</v>
      </c>
    </row>
    <row r="27" spans="1:2" x14ac:dyDescent="0.25">
      <c r="A27" t="s">
        <v>924</v>
      </c>
      <c r="B27">
        <v>1</v>
      </c>
    </row>
    <row r="28" spans="1:2" x14ac:dyDescent="0.25">
      <c r="A28" t="s">
        <v>1085</v>
      </c>
      <c r="B28">
        <v>1</v>
      </c>
    </row>
    <row r="29" spans="1:2" x14ac:dyDescent="0.25">
      <c r="A29" t="s">
        <v>1090</v>
      </c>
      <c r="B29">
        <v>1</v>
      </c>
    </row>
    <row r="30" spans="1:2" x14ac:dyDescent="0.25">
      <c r="A30" t="s">
        <v>922</v>
      </c>
      <c r="B30">
        <v>1</v>
      </c>
    </row>
    <row r="31" spans="1:2" x14ac:dyDescent="0.25">
      <c r="A31" t="s">
        <v>1119</v>
      </c>
      <c r="B31">
        <v>1</v>
      </c>
    </row>
    <row r="32" spans="1:2" x14ac:dyDescent="0.25">
      <c r="A32" t="s">
        <v>914</v>
      </c>
      <c r="B32">
        <v>1</v>
      </c>
    </row>
    <row r="33" spans="1:2" x14ac:dyDescent="0.25">
      <c r="A33" t="s">
        <v>933</v>
      </c>
      <c r="B33">
        <v>1</v>
      </c>
    </row>
    <row r="34" spans="1:2" x14ac:dyDescent="0.25">
      <c r="A34" t="s">
        <v>2724</v>
      </c>
      <c r="B34">
        <v>1</v>
      </c>
    </row>
    <row r="35" spans="1:2" x14ac:dyDescent="0.25">
      <c r="A35" t="s">
        <v>2725</v>
      </c>
      <c r="B35">
        <v>1</v>
      </c>
    </row>
    <row r="36" spans="1:2" x14ac:dyDescent="0.25">
      <c r="A36" t="s">
        <v>931</v>
      </c>
      <c r="B36">
        <v>1</v>
      </c>
    </row>
    <row r="37" spans="1:2" x14ac:dyDescent="0.25">
      <c r="A37" t="s">
        <v>1117</v>
      </c>
      <c r="B37">
        <v>1</v>
      </c>
    </row>
    <row r="38" spans="1:2" x14ac:dyDescent="0.25">
      <c r="A38" t="s">
        <v>1114</v>
      </c>
      <c r="B38">
        <v>1</v>
      </c>
    </row>
    <row r="39" spans="1:2" x14ac:dyDescent="0.25">
      <c r="A39" t="s">
        <v>1228</v>
      </c>
      <c r="B39">
        <v>1</v>
      </c>
    </row>
    <row r="40" spans="1:2" x14ac:dyDescent="0.25">
      <c r="A40" t="s">
        <v>928</v>
      </c>
      <c r="B40">
        <v>1</v>
      </c>
    </row>
    <row r="41" spans="1:2" x14ac:dyDescent="0.25">
      <c r="A41" t="s">
        <v>2726</v>
      </c>
      <c r="B41">
        <v>1</v>
      </c>
    </row>
    <row r="42" spans="1:2" x14ac:dyDescent="0.25">
      <c r="A42" t="s">
        <v>935</v>
      </c>
      <c r="B42">
        <v>1</v>
      </c>
    </row>
    <row r="43" spans="1:2" x14ac:dyDescent="0.25">
      <c r="A43" t="s">
        <v>1109</v>
      </c>
      <c r="B43">
        <v>1</v>
      </c>
    </row>
    <row r="44" spans="1:2" x14ac:dyDescent="0.25">
      <c r="A44" t="s">
        <v>2727</v>
      </c>
      <c r="B44">
        <v>1</v>
      </c>
    </row>
    <row r="45" spans="1:2" x14ac:dyDescent="0.25">
      <c r="A45" t="s">
        <v>2728</v>
      </c>
      <c r="B45">
        <v>1</v>
      </c>
    </row>
    <row r="46" spans="1:2" x14ac:dyDescent="0.25">
      <c r="A46" t="s">
        <v>1083</v>
      </c>
      <c r="B46">
        <v>1</v>
      </c>
    </row>
    <row r="47" spans="1:2" x14ac:dyDescent="0.25">
      <c r="A47" t="s">
        <v>966</v>
      </c>
      <c r="B47" t="s">
        <v>1225</v>
      </c>
    </row>
    <row r="48" spans="1:2" x14ac:dyDescent="0.25">
      <c r="A48" t="s">
        <v>962</v>
      </c>
      <c r="B48">
        <v>1</v>
      </c>
    </row>
    <row r="49" spans="1:2" x14ac:dyDescent="0.25">
      <c r="A49" t="s">
        <v>950</v>
      </c>
      <c r="B49">
        <v>1</v>
      </c>
    </row>
    <row r="50" spans="1:2" x14ac:dyDescent="0.25">
      <c r="A50" t="s">
        <v>2729</v>
      </c>
      <c r="B50">
        <v>1</v>
      </c>
    </row>
    <row r="51" spans="1:2" x14ac:dyDescent="0.25">
      <c r="A51" t="s">
        <v>1145</v>
      </c>
      <c r="B51">
        <v>1</v>
      </c>
    </row>
    <row r="52" spans="1:2" x14ac:dyDescent="0.25">
      <c r="A52" t="s">
        <v>1181</v>
      </c>
      <c r="B52">
        <v>1</v>
      </c>
    </row>
    <row r="53" spans="1:2" x14ac:dyDescent="0.25">
      <c r="A53" t="s">
        <v>1189</v>
      </c>
      <c r="B53">
        <v>1</v>
      </c>
    </row>
    <row r="54" spans="1:2" x14ac:dyDescent="0.25">
      <c r="A54" t="s">
        <v>1227</v>
      </c>
      <c r="B54">
        <v>1</v>
      </c>
    </row>
    <row r="55" spans="1:2" x14ac:dyDescent="0.25">
      <c r="A55" t="s">
        <v>1218</v>
      </c>
      <c r="B55">
        <v>1</v>
      </c>
    </row>
    <row r="56" spans="1:2" x14ac:dyDescent="0.25">
      <c r="A56" t="s">
        <v>1124</v>
      </c>
      <c r="B56">
        <v>1</v>
      </c>
    </row>
    <row r="57" spans="1:2" x14ac:dyDescent="0.25">
      <c r="A57" t="s">
        <v>997</v>
      </c>
      <c r="B57">
        <v>1</v>
      </c>
    </row>
    <row r="58" spans="1:2" x14ac:dyDescent="0.25">
      <c r="A58" t="s">
        <v>983</v>
      </c>
      <c r="B58">
        <v>1</v>
      </c>
    </row>
    <row r="59" spans="1:2" x14ac:dyDescent="0.25">
      <c r="A59" t="s">
        <v>1036</v>
      </c>
      <c r="B59">
        <v>1</v>
      </c>
    </row>
    <row r="60" spans="1:2" x14ac:dyDescent="0.25">
      <c r="A60" t="s">
        <v>1154</v>
      </c>
      <c r="B60">
        <v>1</v>
      </c>
    </row>
    <row r="61" spans="1:2" x14ac:dyDescent="0.25">
      <c r="A61" t="s">
        <v>1016</v>
      </c>
      <c r="B61">
        <v>1</v>
      </c>
    </row>
    <row r="62" spans="1:2" x14ac:dyDescent="0.25">
      <c r="A62" t="s">
        <v>2730</v>
      </c>
      <c r="B62">
        <v>1</v>
      </c>
    </row>
    <row r="63" spans="1:2" x14ac:dyDescent="0.25">
      <c r="A63" t="s">
        <v>1229</v>
      </c>
      <c r="B63">
        <v>1</v>
      </c>
    </row>
    <row r="64" spans="1:2" x14ac:dyDescent="0.25">
      <c r="A64" t="s">
        <v>2731</v>
      </c>
      <c r="B64">
        <v>1</v>
      </c>
    </row>
    <row r="65" spans="1:2" x14ac:dyDescent="0.25">
      <c r="A65" t="s">
        <v>1177</v>
      </c>
      <c r="B65">
        <v>1</v>
      </c>
    </row>
    <row r="66" spans="1:2" x14ac:dyDescent="0.25">
      <c r="A66" t="s">
        <v>1001</v>
      </c>
      <c r="B66">
        <v>1</v>
      </c>
    </row>
    <row r="67" spans="1:2" x14ac:dyDescent="0.25">
      <c r="A67" t="s">
        <v>964</v>
      </c>
      <c r="B67">
        <v>1</v>
      </c>
    </row>
    <row r="68" spans="1:2" x14ac:dyDescent="0.25">
      <c r="A68" t="s">
        <v>1044</v>
      </c>
      <c r="B68">
        <v>1</v>
      </c>
    </row>
    <row r="69" spans="1:2" x14ac:dyDescent="0.25">
      <c r="A69" t="s">
        <v>970</v>
      </c>
      <c r="B69">
        <v>1</v>
      </c>
    </row>
    <row r="70" spans="1:2" x14ac:dyDescent="0.25">
      <c r="A70" t="s">
        <v>1009</v>
      </c>
      <c r="B70">
        <v>1</v>
      </c>
    </row>
    <row r="71" spans="1:2" x14ac:dyDescent="0.25">
      <c r="A71" t="s">
        <v>942</v>
      </c>
      <c r="B71">
        <v>1</v>
      </c>
    </row>
    <row r="72" spans="1:2" x14ac:dyDescent="0.25">
      <c r="A72" t="s">
        <v>2732</v>
      </c>
      <c r="B72">
        <v>1</v>
      </c>
    </row>
    <row r="73" spans="1:2" x14ac:dyDescent="0.25">
      <c r="A73" t="s">
        <v>1231</v>
      </c>
      <c r="B73">
        <v>1</v>
      </c>
    </row>
    <row r="74" spans="1:2" x14ac:dyDescent="0.25">
      <c r="A74" t="s">
        <v>1167</v>
      </c>
      <c r="B74">
        <v>1</v>
      </c>
    </row>
    <row r="75" spans="1:2" x14ac:dyDescent="0.25">
      <c r="A75" t="s">
        <v>974</v>
      </c>
      <c r="B75">
        <v>1</v>
      </c>
    </row>
    <row r="76" spans="1:2" x14ac:dyDescent="0.25">
      <c r="A76" t="s">
        <v>1222</v>
      </c>
      <c r="B76">
        <v>1</v>
      </c>
    </row>
    <row r="77" spans="1:2" x14ac:dyDescent="0.25">
      <c r="A77" t="s">
        <v>1005</v>
      </c>
      <c r="B77">
        <v>1</v>
      </c>
    </row>
    <row r="78" spans="1:2" x14ac:dyDescent="0.25">
      <c r="A78" t="s">
        <v>1070</v>
      </c>
      <c r="B78">
        <v>1</v>
      </c>
    </row>
    <row r="79" spans="1:2" x14ac:dyDescent="0.25">
      <c r="A79" t="s">
        <v>1020</v>
      </c>
      <c r="B79">
        <v>1</v>
      </c>
    </row>
    <row r="80" spans="1:2" x14ac:dyDescent="0.25">
      <c r="A80" t="s">
        <v>1173</v>
      </c>
      <c r="B80">
        <v>1</v>
      </c>
    </row>
    <row r="81" spans="1:2" x14ac:dyDescent="0.25">
      <c r="A81" t="s">
        <v>2733</v>
      </c>
      <c r="B81">
        <v>1</v>
      </c>
    </row>
    <row r="82" spans="1:2" x14ac:dyDescent="0.25">
      <c r="A82" t="s">
        <v>2734</v>
      </c>
      <c r="B82">
        <v>1</v>
      </c>
    </row>
    <row r="83" spans="1:2" x14ac:dyDescent="0.25">
      <c r="A83" t="s">
        <v>1030</v>
      </c>
      <c r="B83">
        <v>1</v>
      </c>
    </row>
    <row r="84" spans="1:2" x14ac:dyDescent="0.25">
      <c r="A84" t="s">
        <v>2735</v>
      </c>
      <c r="B84">
        <v>1</v>
      </c>
    </row>
    <row r="85" spans="1:2" x14ac:dyDescent="0.25">
      <c r="A85" t="s">
        <v>2736</v>
      </c>
      <c r="B85">
        <v>1</v>
      </c>
    </row>
    <row r="86" spans="1:2" x14ac:dyDescent="0.25">
      <c r="A86" t="s">
        <v>215</v>
      </c>
      <c r="B86">
        <v>1</v>
      </c>
    </row>
    <row r="87" spans="1:2" x14ac:dyDescent="0.25">
      <c r="A87" t="s">
        <v>2737</v>
      </c>
      <c r="B87">
        <v>1</v>
      </c>
    </row>
    <row r="88" spans="1:2" x14ac:dyDescent="0.25">
      <c r="A88" t="s">
        <v>976</v>
      </c>
      <c r="B88">
        <v>1</v>
      </c>
    </row>
    <row r="89" spans="1:2" x14ac:dyDescent="0.25">
      <c r="A89" t="s">
        <v>1234</v>
      </c>
      <c r="B89">
        <v>1</v>
      </c>
    </row>
    <row r="90" spans="1:2" x14ac:dyDescent="0.25">
      <c r="A90" t="s">
        <v>2738</v>
      </c>
      <c r="B90">
        <v>1</v>
      </c>
    </row>
    <row r="91" spans="1:2" x14ac:dyDescent="0.25">
      <c r="A91" t="s">
        <v>1121</v>
      </c>
      <c r="B91">
        <v>1</v>
      </c>
    </row>
    <row r="92" spans="1:2" x14ac:dyDescent="0.25">
      <c r="A92" t="s">
        <v>2739</v>
      </c>
      <c r="B92">
        <v>1</v>
      </c>
    </row>
    <row r="93" spans="1:2" x14ac:dyDescent="0.25">
      <c r="A93" t="s">
        <v>1075</v>
      </c>
      <c r="B93">
        <v>1</v>
      </c>
    </row>
    <row r="94" spans="1:2" x14ac:dyDescent="0.25">
      <c r="A94" t="s">
        <v>1081</v>
      </c>
      <c r="B94">
        <v>1</v>
      </c>
    </row>
    <row r="95" spans="1:2" x14ac:dyDescent="0.25">
      <c r="A95" t="s">
        <v>1086</v>
      </c>
      <c r="B95">
        <v>1</v>
      </c>
    </row>
    <row r="96" spans="1:2" x14ac:dyDescent="0.25">
      <c r="A96" t="s">
        <v>1003</v>
      </c>
      <c r="B96">
        <v>1</v>
      </c>
    </row>
    <row r="97" spans="1:2" x14ac:dyDescent="0.25">
      <c r="A97" t="s">
        <v>2740</v>
      </c>
      <c r="B97">
        <v>1</v>
      </c>
    </row>
    <row r="98" spans="1:2" x14ac:dyDescent="0.25">
      <c r="A98" t="s">
        <v>1047</v>
      </c>
      <c r="B98">
        <v>1</v>
      </c>
    </row>
    <row r="99" spans="1:2" x14ac:dyDescent="0.25">
      <c r="A99" t="s">
        <v>1210</v>
      </c>
      <c r="B99">
        <v>1</v>
      </c>
    </row>
    <row r="100" spans="1:2" x14ac:dyDescent="0.25">
      <c r="A100" t="s">
        <v>1064</v>
      </c>
      <c r="B100">
        <v>1</v>
      </c>
    </row>
    <row r="101" spans="1:2" x14ac:dyDescent="0.25">
      <c r="A101" t="s">
        <v>1040</v>
      </c>
      <c r="B101">
        <v>1</v>
      </c>
    </row>
    <row r="102" spans="1:2" x14ac:dyDescent="0.25">
      <c r="A102" t="s">
        <v>1214</v>
      </c>
      <c r="B102">
        <v>1</v>
      </c>
    </row>
    <row r="103" spans="1:2" x14ac:dyDescent="0.25">
      <c r="A103" t="s">
        <v>1197</v>
      </c>
      <c r="B103">
        <v>1</v>
      </c>
    </row>
    <row r="104" spans="1:2" x14ac:dyDescent="0.25">
      <c r="A104" t="s">
        <v>1152</v>
      </c>
      <c r="B104">
        <v>1</v>
      </c>
    </row>
    <row r="105" spans="1:2" x14ac:dyDescent="0.25">
      <c r="A105" t="s">
        <v>1079</v>
      </c>
      <c r="B105">
        <v>1</v>
      </c>
    </row>
    <row r="106" spans="1:2" x14ac:dyDescent="0.25">
      <c r="A106" t="s">
        <v>972</v>
      </c>
      <c r="B106">
        <v>1</v>
      </c>
    </row>
    <row r="107" spans="1:2" x14ac:dyDescent="0.25">
      <c r="A107" t="s">
        <v>2741</v>
      </c>
      <c r="B107">
        <v>1</v>
      </c>
    </row>
    <row r="108" spans="1:2" x14ac:dyDescent="0.25">
      <c r="A108" t="s">
        <v>1034</v>
      </c>
      <c r="B108">
        <v>1</v>
      </c>
    </row>
    <row r="109" spans="1:2" x14ac:dyDescent="0.25">
      <c r="A109" t="s">
        <v>1169</v>
      </c>
      <c r="B109">
        <v>1</v>
      </c>
    </row>
    <row r="110" spans="1:2" x14ac:dyDescent="0.25">
      <c r="A110" t="s">
        <v>2742</v>
      </c>
      <c r="B110">
        <v>1</v>
      </c>
    </row>
    <row r="111" spans="1:2" x14ac:dyDescent="0.25">
      <c r="A111" t="s">
        <v>2743</v>
      </c>
      <c r="B111">
        <v>1</v>
      </c>
    </row>
    <row r="112" spans="1:2" x14ac:dyDescent="0.25">
      <c r="A112" t="s">
        <v>1022</v>
      </c>
      <c r="B112">
        <v>1</v>
      </c>
    </row>
    <row r="113" spans="1:2" x14ac:dyDescent="0.25">
      <c r="A113" t="s">
        <v>1160</v>
      </c>
      <c r="B113">
        <v>1</v>
      </c>
    </row>
    <row r="114" spans="1:2" x14ac:dyDescent="0.25">
      <c r="A114" t="s">
        <v>1205</v>
      </c>
      <c r="B114">
        <v>1</v>
      </c>
    </row>
    <row r="115" spans="1:2" x14ac:dyDescent="0.25">
      <c r="A115" t="s">
        <v>2744</v>
      </c>
      <c r="B115">
        <v>1</v>
      </c>
    </row>
    <row r="116" spans="1:2" x14ac:dyDescent="0.25">
      <c r="A116" t="s">
        <v>952</v>
      </c>
      <c r="B116">
        <v>1</v>
      </c>
    </row>
    <row r="117" spans="1:2" x14ac:dyDescent="0.25">
      <c r="A117" t="s">
        <v>987</v>
      </c>
      <c r="B117">
        <v>1</v>
      </c>
    </row>
    <row r="118" spans="1:2" x14ac:dyDescent="0.25">
      <c r="A118" t="s">
        <v>1062</v>
      </c>
      <c r="B118">
        <v>1</v>
      </c>
    </row>
    <row r="119" spans="1:2" x14ac:dyDescent="0.25">
      <c r="A119" t="s">
        <v>2745</v>
      </c>
      <c r="B119">
        <v>1</v>
      </c>
    </row>
    <row r="120" spans="1:2" x14ac:dyDescent="0.25">
      <c r="A120" t="s">
        <v>1042</v>
      </c>
      <c r="B120">
        <v>1</v>
      </c>
    </row>
    <row r="121" spans="1:2" x14ac:dyDescent="0.25">
      <c r="A121" t="s">
        <v>2746</v>
      </c>
      <c r="B121">
        <v>1</v>
      </c>
    </row>
    <row r="122" spans="1:2" x14ac:dyDescent="0.25">
      <c r="A122" t="s">
        <v>995</v>
      </c>
      <c r="B122">
        <v>1</v>
      </c>
    </row>
    <row r="123" spans="1:2" x14ac:dyDescent="0.25">
      <c r="A123" t="s">
        <v>1024</v>
      </c>
      <c r="B123">
        <v>1</v>
      </c>
    </row>
    <row r="124" spans="1:2" x14ac:dyDescent="0.25">
      <c r="A124" t="s">
        <v>1135</v>
      </c>
      <c r="B124">
        <v>1</v>
      </c>
    </row>
    <row r="125" spans="1:2" x14ac:dyDescent="0.25">
      <c r="A125" t="s">
        <v>2747</v>
      </c>
      <c r="B125">
        <v>1</v>
      </c>
    </row>
    <row r="126" spans="1:2" x14ac:dyDescent="0.25">
      <c r="A126" t="s">
        <v>944</v>
      </c>
      <c r="B126">
        <v>1</v>
      </c>
    </row>
    <row r="127" spans="1:2" x14ac:dyDescent="0.25">
      <c r="A127" t="s">
        <v>1038</v>
      </c>
      <c r="B127">
        <v>1</v>
      </c>
    </row>
    <row r="128" spans="1:2" x14ac:dyDescent="0.25">
      <c r="A128" t="s">
        <v>2748</v>
      </c>
      <c r="B128">
        <v>1</v>
      </c>
    </row>
    <row r="129" spans="1:2" x14ac:dyDescent="0.25">
      <c r="A129" t="s">
        <v>1060</v>
      </c>
      <c r="B129">
        <v>1</v>
      </c>
    </row>
    <row r="130" spans="1:2" x14ac:dyDescent="0.25">
      <c r="A130" t="s">
        <v>2749</v>
      </c>
      <c r="B130">
        <v>1</v>
      </c>
    </row>
    <row r="131" spans="1:2" x14ac:dyDescent="0.25">
      <c r="A131" t="s">
        <v>1201</v>
      </c>
      <c r="B131">
        <v>1</v>
      </c>
    </row>
    <row r="132" spans="1:2" x14ac:dyDescent="0.25">
      <c r="A132" t="s">
        <v>1141</v>
      </c>
      <c r="B132">
        <v>1</v>
      </c>
    </row>
    <row r="133" spans="1:2" x14ac:dyDescent="0.25">
      <c r="A133" t="s">
        <v>2750</v>
      </c>
      <c r="B133">
        <v>1</v>
      </c>
    </row>
    <row r="134" spans="1:2" x14ac:dyDescent="0.25">
      <c r="A134" t="s">
        <v>2751</v>
      </c>
      <c r="B134">
        <v>1</v>
      </c>
    </row>
    <row r="135" spans="1:2" x14ac:dyDescent="0.25">
      <c r="A135" t="s">
        <v>968</v>
      </c>
      <c r="B135">
        <v>1</v>
      </c>
    </row>
    <row r="136" spans="1:2" x14ac:dyDescent="0.25">
      <c r="A136" t="s">
        <v>990</v>
      </c>
      <c r="B136">
        <v>1</v>
      </c>
    </row>
    <row r="137" spans="1:2" x14ac:dyDescent="0.25">
      <c r="A137" t="s">
        <v>1057</v>
      </c>
      <c r="B137">
        <v>1</v>
      </c>
    </row>
    <row r="138" spans="1:2" x14ac:dyDescent="0.25">
      <c r="A138" t="s">
        <v>2752</v>
      </c>
      <c r="B138">
        <v>1</v>
      </c>
    </row>
    <row r="139" spans="1:2" x14ac:dyDescent="0.25">
      <c r="A139" t="s">
        <v>1049</v>
      </c>
      <c r="B139">
        <v>1</v>
      </c>
    </row>
    <row r="140" spans="1:2" x14ac:dyDescent="0.25">
      <c r="A140" t="s">
        <v>1028</v>
      </c>
      <c r="B140">
        <v>1</v>
      </c>
    </row>
    <row r="141" spans="1:2" x14ac:dyDescent="0.25">
      <c r="A141" t="s">
        <v>961</v>
      </c>
      <c r="B141">
        <v>1</v>
      </c>
    </row>
    <row r="142" spans="1:2" x14ac:dyDescent="0.25">
      <c r="A142" t="s">
        <v>1077</v>
      </c>
      <c r="B142">
        <v>1</v>
      </c>
    </row>
    <row r="143" spans="1:2" x14ac:dyDescent="0.25">
      <c r="A143" t="s">
        <v>1055</v>
      </c>
      <c r="B143">
        <v>1</v>
      </c>
    </row>
    <row r="144" spans="1:2" x14ac:dyDescent="0.25">
      <c r="A144" t="s">
        <v>2753</v>
      </c>
      <c r="B144">
        <v>1</v>
      </c>
    </row>
    <row r="145" spans="1:2" x14ac:dyDescent="0.25">
      <c r="A145" t="s">
        <v>2754</v>
      </c>
      <c r="B145">
        <v>1</v>
      </c>
    </row>
    <row r="146" spans="1:2" x14ac:dyDescent="0.25">
      <c r="A146" t="s">
        <v>1171</v>
      </c>
      <c r="B146">
        <v>1</v>
      </c>
    </row>
    <row r="147" spans="1:2" x14ac:dyDescent="0.25">
      <c r="A147" t="s">
        <v>1158</v>
      </c>
      <c r="B147">
        <v>1</v>
      </c>
    </row>
    <row r="148" spans="1:2" x14ac:dyDescent="0.25">
      <c r="A148" t="s">
        <v>948</v>
      </c>
      <c r="B148">
        <v>1</v>
      </c>
    </row>
    <row r="149" spans="1:2" x14ac:dyDescent="0.25">
      <c r="A149" t="s">
        <v>1164</v>
      </c>
      <c r="B149">
        <v>1</v>
      </c>
    </row>
    <row r="150" spans="1:2" x14ac:dyDescent="0.25">
      <c r="A150" t="s">
        <v>940</v>
      </c>
      <c r="B150">
        <v>1</v>
      </c>
    </row>
    <row r="151" spans="1:2" x14ac:dyDescent="0.25">
      <c r="A151" t="s">
        <v>2755</v>
      </c>
      <c r="B151">
        <v>1</v>
      </c>
    </row>
    <row r="152" spans="1:2" x14ac:dyDescent="0.25">
      <c r="A152" t="s">
        <v>1230</v>
      </c>
      <c r="B152">
        <v>1</v>
      </c>
    </row>
    <row r="153" spans="1:2" x14ac:dyDescent="0.25">
      <c r="A153" t="s">
        <v>1018</v>
      </c>
      <c r="B153">
        <v>1</v>
      </c>
    </row>
    <row r="154" spans="1:2" x14ac:dyDescent="0.25">
      <c r="A154" t="s">
        <v>1126</v>
      </c>
      <c r="B154">
        <v>1</v>
      </c>
    </row>
    <row r="155" spans="1:2" x14ac:dyDescent="0.25">
      <c r="A155" t="s">
        <v>2756</v>
      </c>
      <c r="B155">
        <v>1</v>
      </c>
    </row>
    <row r="156" spans="1:2" x14ac:dyDescent="0.25">
      <c r="A156" t="s">
        <v>1156</v>
      </c>
      <c r="B156">
        <v>1</v>
      </c>
    </row>
    <row r="157" spans="1:2" x14ac:dyDescent="0.25">
      <c r="A157" t="s">
        <v>1179</v>
      </c>
      <c r="B157">
        <v>1</v>
      </c>
    </row>
    <row r="158" spans="1:2" x14ac:dyDescent="0.25">
      <c r="A158" t="s">
        <v>959</v>
      </c>
      <c r="B158">
        <v>1</v>
      </c>
    </row>
    <row r="159" spans="1:2" x14ac:dyDescent="0.25">
      <c r="A159" t="s">
        <v>1129</v>
      </c>
      <c r="B159">
        <v>1</v>
      </c>
    </row>
    <row r="160" spans="1:2" x14ac:dyDescent="0.25">
      <c r="A160" t="s">
        <v>1026</v>
      </c>
      <c r="B160">
        <v>1</v>
      </c>
    </row>
    <row r="161" spans="1:2" x14ac:dyDescent="0.25">
      <c r="A161" t="s">
        <v>1073</v>
      </c>
      <c r="B161">
        <v>1</v>
      </c>
    </row>
    <row r="162" spans="1:2" x14ac:dyDescent="0.25">
      <c r="A162" t="s">
        <v>1193</v>
      </c>
      <c r="B162">
        <v>1</v>
      </c>
    </row>
    <row r="163" spans="1:2" x14ac:dyDescent="0.25">
      <c r="A163" t="s">
        <v>957</v>
      </c>
      <c r="B163">
        <v>1</v>
      </c>
    </row>
    <row r="164" spans="1:2" x14ac:dyDescent="0.25">
      <c r="A164" t="s">
        <v>2757</v>
      </c>
      <c r="B164">
        <v>1</v>
      </c>
    </row>
    <row r="165" spans="1:2" x14ac:dyDescent="0.25">
      <c r="A165" t="s">
        <v>2758</v>
      </c>
      <c r="B165">
        <v>1</v>
      </c>
    </row>
    <row r="166" spans="1:2" x14ac:dyDescent="0.25">
      <c r="A166" t="s">
        <v>1007</v>
      </c>
      <c r="B166">
        <v>1</v>
      </c>
    </row>
    <row r="167" spans="1:2" x14ac:dyDescent="0.25">
      <c r="A167" t="s">
        <v>1150</v>
      </c>
      <c r="B167">
        <v>1</v>
      </c>
    </row>
    <row r="168" spans="1:2" x14ac:dyDescent="0.25">
      <c r="A168" t="s">
        <v>1212</v>
      </c>
      <c r="B168">
        <v>1</v>
      </c>
    </row>
    <row r="169" spans="1:2" x14ac:dyDescent="0.25">
      <c r="A169" t="s">
        <v>1185</v>
      </c>
      <c r="B169">
        <v>1</v>
      </c>
    </row>
    <row r="170" spans="1:2" x14ac:dyDescent="0.25">
      <c r="A170" t="s">
        <v>980</v>
      </c>
      <c r="B170">
        <v>1</v>
      </c>
    </row>
    <row r="171" spans="1:2" x14ac:dyDescent="0.25">
      <c r="A171" t="s">
        <v>1051</v>
      </c>
      <c r="B171">
        <v>1</v>
      </c>
    </row>
    <row r="172" spans="1:2" x14ac:dyDescent="0.25">
      <c r="A172" t="s">
        <v>2759</v>
      </c>
      <c r="B172">
        <v>1</v>
      </c>
    </row>
    <row r="173" spans="1:2" x14ac:dyDescent="0.25">
      <c r="A173" t="s">
        <v>1068</v>
      </c>
      <c r="B173">
        <v>1</v>
      </c>
    </row>
    <row r="174" spans="1:2" x14ac:dyDescent="0.25">
      <c r="A174" t="s">
        <v>2760</v>
      </c>
      <c r="B174">
        <v>1</v>
      </c>
    </row>
    <row r="175" spans="1:2" x14ac:dyDescent="0.25">
      <c r="A175" t="s">
        <v>954</v>
      </c>
      <c r="B175">
        <v>1</v>
      </c>
    </row>
    <row r="176" spans="1:2" x14ac:dyDescent="0.25">
      <c r="A176" t="s">
        <v>999</v>
      </c>
      <c r="B176">
        <v>1</v>
      </c>
    </row>
    <row r="177" spans="1:2" x14ac:dyDescent="0.25">
      <c r="A177" t="s">
        <v>1220</v>
      </c>
      <c r="B177">
        <v>1</v>
      </c>
    </row>
    <row r="178" spans="1:2" x14ac:dyDescent="0.25">
      <c r="A178" t="s">
        <v>978</v>
      </c>
      <c r="B178">
        <v>1</v>
      </c>
    </row>
    <row r="179" spans="1:2" x14ac:dyDescent="0.25">
      <c r="A179" t="s">
        <v>1132</v>
      </c>
      <c r="B179">
        <v>1</v>
      </c>
    </row>
    <row r="180" spans="1:2" x14ac:dyDescent="0.25">
      <c r="A180" t="s">
        <v>2761</v>
      </c>
      <c r="B180">
        <v>1</v>
      </c>
    </row>
    <row r="181" spans="1:2" x14ac:dyDescent="0.25">
      <c r="A181" t="s">
        <v>1203</v>
      </c>
      <c r="B181">
        <v>1</v>
      </c>
    </row>
    <row r="182" spans="1:2" x14ac:dyDescent="0.25">
      <c r="A182" t="s">
        <v>1208</v>
      </c>
      <c r="B182">
        <v>1</v>
      </c>
    </row>
    <row r="183" spans="1:2" x14ac:dyDescent="0.25">
      <c r="A183" t="s">
        <v>2762</v>
      </c>
      <c r="B183">
        <v>1</v>
      </c>
    </row>
    <row r="184" spans="1:2" x14ac:dyDescent="0.25">
      <c r="A184" t="s">
        <v>2763</v>
      </c>
      <c r="B184">
        <v>1</v>
      </c>
    </row>
    <row r="185" spans="1:2" x14ac:dyDescent="0.25">
      <c r="A185" t="s">
        <v>2764</v>
      </c>
      <c r="B185">
        <v>1</v>
      </c>
    </row>
    <row r="186" spans="1:2" x14ac:dyDescent="0.25">
      <c r="A186" t="s">
        <v>1032</v>
      </c>
      <c r="B186">
        <v>1</v>
      </c>
    </row>
    <row r="187" spans="1:2" x14ac:dyDescent="0.25">
      <c r="A187" t="s">
        <v>1191</v>
      </c>
      <c r="B187">
        <v>1</v>
      </c>
    </row>
    <row r="188" spans="1:2" x14ac:dyDescent="0.25">
      <c r="A188" t="s">
        <v>1148</v>
      </c>
      <c r="B188">
        <v>1</v>
      </c>
    </row>
    <row r="189" spans="1:2" x14ac:dyDescent="0.25">
      <c r="A189" t="s">
        <v>1162</v>
      </c>
      <c r="B189">
        <v>1</v>
      </c>
    </row>
    <row r="190" spans="1:2" x14ac:dyDescent="0.25">
      <c r="A190" t="s">
        <v>1066</v>
      </c>
      <c r="B190">
        <v>1</v>
      </c>
    </row>
    <row r="191" spans="1:2" x14ac:dyDescent="0.25">
      <c r="A191" t="s">
        <v>1226</v>
      </c>
      <c r="B191">
        <v>1</v>
      </c>
    </row>
    <row r="192" spans="1:2" x14ac:dyDescent="0.25">
      <c r="A192" t="s">
        <v>985</v>
      </c>
      <c r="B192">
        <v>1</v>
      </c>
    </row>
    <row r="193" spans="1:2" x14ac:dyDescent="0.25">
      <c r="A193" t="s">
        <v>946</v>
      </c>
      <c r="B193">
        <v>1</v>
      </c>
    </row>
    <row r="194" spans="1:2" x14ac:dyDescent="0.25">
      <c r="A194" t="s">
        <v>2765</v>
      </c>
      <c r="B194">
        <v>1</v>
      </c>
    </row>
    <row r="195" spans="1:2" x14ac:dyDescent="0.25">
      <c r="A195" t="s">
        <v>2766</v>
      </c>
      <c r="B195">
        <v>1</v>
      </c>
    </row>
    <row r="196" spans="1:2" x14ac:dyDescent="0.25">
      <c r="A196" t="s">
        <v>2767</v>
      </c>
      <c r="B196">
        <v>1</v>
      </c>
    </row>
    <row r="197" spans="1:2" x14ac:dyDescent="0.25">
      <c r="A197" t="s">
        <v>2768</v>
      </c>
      <c r="B197">
        <v>1</v>
      </c>
    </row>
    <row r="198" spans="1:2" x14ac:dyDescent="0.25">
      <c r="A198" t="s">
        <v>2769</v>
      </c>
      <c r="B198">
        <v>1</v>
      </c>
    </row>
    <row r="199" spans="1:2" x14ac:dyDescent="0.25">
      <c r="A199" t="s">
        <v>2770</v>
      </c>
      <c r="B199">
        <v>1</v>
      </c>
    </row>
    <row r="200" spans="1:2" x14ac:dyDescent="0.25">
      <c r="A200" t="s">
        <v>2771</v>
      </c>
      <c r="B200">
        <v>1</v>
      </c>
    </row>
    <row r="201" spans="1:2" x14ac:dyDescent="0.25">
      <c r="A201" t="s">
        <v>1216</v>
      </c>
      <c r="B201">
        <v>1</v>
      </c>
    </row>
    <row r="202" spans="1:2" x14ac:dyDescent="0.25">
      <c r="A202" t="s">
        <v>1143</v>
      </c>
      <c r="B202">
        <v>1</v>
      </c>
    </row>
    <row r="203" spans="1:2" x14ac:dyDescent="0.25">
      <c r="A203" t="s">
        <v>1011</v>
      </c>
      <c r="B203">
        <v>1</v>
      </c>
    </row>
    <row r="204" spans="1:2" x14ac:dyDescent="0.25">
      <c r="A204" t="s">
        <v>1014</v>
      </c>
      <c r="B204">
        <v>1</v>
      </c>
    </row>
    <row r="205" spans="1:2" x14ac:dyDescent="0.25">
      <c r="A205" t="s">
        <v>1053</v>
      </c>
      <c r="B205">
        <v>1</v>
      </c>
    </row>
    <row r="206" spans="1:2" x14ac:dyDescent="0.25">
      <c r="A206" t="s">
        <v>1183</v>
      </c>
      <c r="B206">
        <v>1</v>
      </c>
    </row>
    <row r="207" spans="1:2" x14ac:dyDescent="0.25">
      <c r="A207" t="s">
        <v>1195</v>
      </c>
      <c r="B207">
        <v>1</v>
      </c>
    </row>
    <row r="208" spans="1:2" x14ac:dyDescent="0.25">
      <c r="A208" t="s">
        <v>966</v>
      </c>
      <c r="B208" t="s">
        <v>1225</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494</vt:i4>
      </vt:variant>
    </vt:vector>
  </HeadingPairs>
  <TitlesOfParts>
    <vt:vector size="504" baseType="lpstr">
      <vt:lpstr>icons</vt:lpstr>
      <vt:lpstr>International URLs</vt:lpstr>
      <vt:lpstr>International Settings</vt:lpstr>
      <vt:lpstr>International Translations</vt:lpstr>
      <vt:lpstr>Data Validation</vt:lpstr>
      <vt:lpstr>International Data</vt:lpstr>
      <vt:lpstr>Template</vt:lpstr>
      <vt:lpstr>Conditions List</vt:lpstr>
      <vt:lpstr>Dropdown Lists</vt:lpstr>
      <vt:lpstr>AttributePTDMAP</vt:lpstr>
      <vt:lpstr>attributeMapFeedProductType</vt:lpstr>
      <vt:lpstr>Auto_Update</vt:lpstr>
      <vt:lpstr>blanketare_batteries_included</vt:lpstr>
      <vt:lpstr>blanketbatteries_required</vt:lpstr>
      <vt:lpstr>blanketbattery_cell_composition</vt:lpstr>
      <vt:lpstr>blanketbattery_type</vt:lpstr>
      <vt:lpstr>blanketbattery_weight_unit_of_measure</vt:lpstr>
      <vt:lpstr>blanketcalifornia_proposition__chemical_names</vt:lpstr>
      <vt:lpstr>blanketcalifornia_proposition__compliance_type</vt:lpstr>
      <vt:lpstr>blanketcolor_map</vt:lpstr>
      <vt:lpstr>blanketcondition_type</vt:lpstr>
      <vt:lpstr>blanketcountry_as_labeled</vt:lpstr>
      <vt:lpstr>blanketcountry_of_origin</vt:lpstr>
      <vt:lpstr>blanketcpsia_cautionary_statement</vt:lpstr>
      <vt:lpstr>blanketcurrency</vt:lpstr>
      <vt:lpstr>blanketexternal_product_id_type</vt:lpstr>
      <vt:lpstr>blanketfabric_weight_unit_of_measure</vt:lpstr>
      <vt:lpstr>blanketfulfillment_center_id</vt:lpstr>
      <vt:lpstr>blanketghs_classification_class</vt:lpstr>
      <vt:lpstr>blanketgtin_exemption_reason</vt:lpstr>
      <vt:lpstr>blanketincluded_components</vt:lpstr>
      <vt:lpstr>blanketis_assembly_required</vt:lpstr>
      <vt:lpstr>blanketitem_display_height_unit_of_measure</vt:lpstr>
      <vt:lpstr>blanketitem_display_length_unit_of_measure</vt:lpstr>
      <vt:lpstr>blanketitem_display_weight_unit_of_measure</vt:lpstr>
      <vt:lpstr>blanketitem_display_width_unit_of_measure</vt:lpstr>
      <vt:lpstr>blanketitem_height_unit_of_measure</vt:lpstr>
      <vt:lpstr>blanketitem_length_unit_of_measure</vt:lpstr>
      <vt:lpstr>blanketitem_shape</vt:lpstr>
      <vt:lpstr>blanketitem_type</vt:lpstr>
      <vt:lpstr>blanketitem_volume_unit_of_measure</vt:lpstr>
      <vt:lpstr>blanketitem_weight_unit_of_measure</vt:lpstr>
      <vt:lpstr>blanketitem_width_unit_of_measure</vt:lpstr>
      <vt:lpstr>blanketlegal_compliance_certification_regulatory_organization_name</vt:lpstr>
      <vt:lpstr>blanketlegal_compliance_certification_status</vt:lpstr>
      <vt:lpstr>blanketlithium_battery_energy_content_unit_of_measure</vt:lpstr>
      <vt:lpstr>blanketlithium_battery_packaging</vt:lpstr>
      <vt:lpstr>blanketlithium_battery_weight_unit_of_measure</vt:lpstr>
      <vt:lpstr>blanketmaterial_type</vt:lpstr>
      <vt:lpstr>blanketmaximum_weight_recommendation_unit_of_measure</vt:lpstr>
      <vt:lpstr>blanketoffering_can_be_gift_messaged</vt:lpstr>
      <vt:lpstr>blanketoffering_can_be_giftwrapped</vt:lpstr>
      <vt:lpstr>blanketpackage_height_unit_of_measure</vt:lpstr>
      <vt:lpstr>blanketpackage_length_unit_of_measure</vt:lpstr>
      <vt:lpstr>blanketpackage_weight_unit_of_measure</vt:lpstr>
      <vt:lpstr>blanketpackage_width_unit_of_measure</vt:lpstr>
      <vt:lpstr>blanketparent_child</vt:lpstr>
      <vt:lpstr>blanketpattern_name</vt:lpstr>
      <vt:lpstr>blanketpesticide_marking_registration_status</vt:lpstr>
      <vt:lpstr>blanketpesticide_marking_type</vt:lpstr>
      <vt:lpstr>blanketpricing_action</vt:lpstr>
      <vt:lpstr>blanketproduct_tax_code</vt:lpstr>
      <vt:lpstr>blanketprogressive_discount_type</vt:lpstr>
      <vt:lpstr>blanketquantity_price_type</vt:lpstr>
      <vt:lpstr>blanketrelationship_type</vt:lpstr>
      <vt:lpstr>blanketscent_name</vt:lpstr>
      <vt:lpstr>blanketseasons</vt:lpstr>
      <vt:lpstr>blanketsize_map</vt:lpstr>
      <vt:lpstr>blanketspecial_features</vt:lpstr>
      <vt:lpstr>blanketsupplier_declared_dg_hz_regulation</vt:lpstr>
      <vt:lpstr>blanketsupplier_declared_material_regulation</vt:lpstr>
      <vt:lpstr>blanketunit_count_type</vt:lpstr>
      <vt:lpstr>blanketupdate_delete</vt:lpstr>
      <vt:lpstr>blanketvariation_theme</vt:lpstr>
      <vt:lpstr>blanketwattage_unit_of_measure</vt:lpstr>
      <vt:lpstr>CONDITION_LIST_0</vt:lpstr>
      <vt:lpstr>CONDITION_LIST_1</vt:lpstr>
      <vt:lpstr>CONDITION_LIST_2</vt:lpstr>
      <vt:lpstr>CONDITION_LIST_3</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recommendedAttributePTDMap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HAKI COMPUTER</cp:lastModifiedBy>
  <dcterms:created xsi:type="dcterms:W3CDTF">2012-05-03T10:29:09Z</dcterms:created>
  <dcterms:modified xsi:type="dcterms:W3CDTF">2021-06-26T09:48:12Z</dcterms:modified>
  <cp:category/>
  <cp:contentStatus/>
</cp:coreProperties>
</file>